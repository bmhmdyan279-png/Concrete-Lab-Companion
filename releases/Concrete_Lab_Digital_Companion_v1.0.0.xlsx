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راهنما" sheetId="1" state="visible" r:id="rId1"/>
    <sheet name="01_اطلاعات_آزمون" sheetId="2" state="visible" r:id="rId2"/>
    <sheet name="1-2 رطوبت" sheetId="3" state="visible" r:id="rId3"/>
    <sheet name="2-4 ملات" sheetId="4" state="visible" r:id="rId4"/>
    <sheet name="_Validation_Data" sheetId="5" state="hidden" r:id="rId5"/>
    <sheet name="03_گزار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1F4E79"/>
      <sz val="14"/>
    </font>
    <font>
      <name val="Tahoma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applyProtection="1" pivotButton="0" quotePrefix="0" xfId="0">
      <protection locked="0" hidden="0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همراه دیجیتال آزمایشگاه بتن (v1.0.0)</t>
        </is>
      </c>
    </row>
    <row r="3">
      <c r="A3" s="2" t="inlineStr">
        <is>
          <t>بخش</t>
        </is>
      </c>
      <c r="B3" s="2" t="inlineStr">
        <is>
          <t>توضیحات</t>
        </is>
      </c>
    </row>
    <row r="4">
      <c r="A4" s="3" t="inlineStr">
        <is>
          <t>فلسفه</t>
        </is>
      </c>
      <c r="B4" t="inlineStr">
        <is>
          <t>آموزش + محاسبه + کنترل کیفیت (QA)</t>
        </is>
      </c>
    </row>
    <row r="5">
      <c r="A5" s="3" t="inlineStr">
        <is>
          <t>رمز عبور</t>
        </is>
      </c>
      <c r="B5" t="inlineStr">
        <is>
          <t>ConcreteLab2026! (فقط در مخزن گیت‌هاب)</t>
        </is>
      </c>
    </row>
    <row r="6">
      <c r="A6" s="3" t="inlineStr">
        <is>
          <t>اِراتایاب</t>
        </is>
      </c>
      <c r="B6" t="inlineStr">
        <is>
          <t>شیت پنهان _Validation_Data حاوی ۸ خطای چاپ اول کتاب</t>
        </is>
      </c>
    </row>
    <row r="7">
      <c r="A7" s="3" t="inlineStr">
        <is>
          <t>نمودار</t>
        </is>
      </c>
      <c r="B7" t="inlineStr">
        <is>
          <t>Plan A: Scatter لگاریتمی | Plan B: ستون Helper برای موبایل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شناسنامه آزمایش</t>
        </is>
      </c>
    </row>
    <row r="3">
      <c r="A3" s="2" t="inlineStr">
        <is>
          <t>فیلد</t>
        </is>
      </c>
      <c r="B3" s="2" t="inlineStr">
        <is>
          <t>مقدار</t>
        </is>
      </c>
    </row>
    <row r="4">
      <c r="A4" s="3" t="inlineStr">
        <is>
          <t>پروژه</t>
        </is>
      </c>
      <c r="B4" s="4" t="n"/>
    </row>
    <row r="5">
      <c r="A5" s="3" t="inlineStr">
        <is>
          <t>شماره نمونه</t>
        </is>
      </c>
      <c r="B5" s="4" t="n"/>
    </row>
    <row r="6">
      <c r="A6" s="3" t="inlineStr">
        <is>
          <t>تاریخ</t>
        </is>
      </c>
      <c r="B6" s="4" t="n"/>
    </row>
    <row r="7">
      <c r="A7" s="3" t="inlineStr">
        <is>
          <t>اپراتور</t>
        </is>
      </c>
      <c r="B7" s="4" t="n"/>
    </row>
    <row r="8">
      <c r="A8" s="3" t="inlineStr">
        <is>
          <t>دستگاه</t>
        </is>
      </c>
      <c r="B8" s="4" t="n"/>
    </row>
    <row r="9">
      <c r="A9" s="3" t="inlineStr">
        <is>
          <t>دما (C)</t>
        </is>
      </c>
      <c r="B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درصد رطوبت (ASTM C566 - پایه خشک)</t>
        </is>
      </c>
    </row>
    <row r="3">
      <c r="A3" s="2" t="inlineStr">
        <is>
          <t>شرح</t>
        </is>
      </c>
      <c r="B3" s="2" t="inlineStr">
        <is>
          <t>وزن (g)</t>
        </is>
      </c>
      <c r="C3" s="2" t="inlineStr">
        <is>
          <t>فرمول/نتیجه</t>
        </is>
      </c>
    </row>
    <row r="4">
      <c r="A4" s="3" t="inlineStr">
        <is>
          <t>وزن تر (W1)</t>
        </is>
      </c>
      <c r="B4" s="4" t="n"/>
    </row>
    <row r="5">
      <c r="A5" s="3" t="inlineStr">
        <is>
          <t>وزن خشک (W2)</t>
        </is>
      </c>
      <c r="B5" s="4" t="n"/>
    </row>
    <row r="6">
      <c r="A6" s="3" t="inlineStr">
        <is>
          <t>رطوبت (%)</t>
        </is>
      </c>
      <c r="B6" s="5" t="n"/>
      <c r="C6">
        <f>IF(B5=0,"—",ROUND((B4-B5)/B5*100,2))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مقاومت ملات (EN 196-1)</t>
        </is>
      </c>
    </row>
    <row r="3">
      <c r="A3" s="2" t="inlineStr">
        <is>
          <t>نمونه</t>
        </is>
      </c>
      <c r="B3" s="2" t="inlineStr">
        <is>
          <t>بار (kgf)</t>
        </is>
      </c>
      <c r="C3" s="2" t="inlineStr">
        <is>
          <t>MPa</t>
        </is>
      </c>
    </row>
    <row r="4">
      <c r="A4" s="3" t="inlineStr">
        <is>
          <t>نمونه 1</t>
        </is>
      </c>
      <c r="B4" s="4" t="n"/>
      <c r="C4" s="5">
        <f>IF(B4="","",ROUND(B4*9.80665/1600,1))</f>
        <v/>
      </c>
    </row>
    <row r="5">
      <c r="A5" s="3" t="inlineStr">
        <is>
          <t>نمونه 2</t>
        </is>
      </c>
      <c r="B5" s="4" t="n"/>
      <c r="C5" s="5">
        <f>IF(B5="","",ROUND(B5*9.80665/1600,1))</f>
        <v/>
      </c>
    </row>
    <row r="6">
      <c r="A6" s="3" t="inlineStr">
        <is>
          <t>نمونه 3</t>
        </is>
      </c>
      <c r="B6" s="4" t="n"/>
      <c r="C6" s="5">
        <f>IF(B6="","",ROUND(B6*9.80665/1600,1))</f>
        <v/>
      </c>
    </row>
    <row r="7">
      <c r="A7" s="3" t="inlineStr">
        <is>
          <t>نمونه 4</t>
        </is>
      </c>
      <c r="B7" s="4" t="n"/>
      <c r="C7" s="5">
        <f>IF(B7="","",ROUND(B7*9.80665/1600,1))</f>
        <v/>
      </c>
    </row>
    <row r="8">
      <c r="A8" s="3" t="inlineStr">
        <is>
          <t>نمونه 5</t>
        </is>
      </c>
      <c r="B8" s="4" t="n"/>
      <c r="C8" s="5">
        <f>IF(B8="","",ROUND(B8*9.80665/1600,1))</f>
        <v/>
      </c>
    </row>
    <row r="9">
      <c r="A9" s="3" t="inlineStr">
        <is>
          <t>نمونه 6</t>
        </is>
      </c>
      <c r="B9" s="4" t="n"/>
      <c r="C9" s="5">
        <f>IF(B9="","",ROUND(B9*9.80665/1600,1))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اِراتایاب چاپ اول</t>
        </is>
      </c>
    </row>
    <row r="3">
      <c r="A3" s="2" t="inlineStr">
        <is>
          <t>کد</t>
        </is>
      </c>
      <c r="B3" s="2" t="inlineStr">
        <is>
          <t>مقدار کتاب</t>
        </is>
      </c>
      <c r="C3" s="2" t="inlineStr">
        <is>
          <t>مقدار ابزار</t>
        </is>
      </c>
      <c r="D3" s="2" t="inlineStr">
        <is>
          <t>وضعیت</t>
        </is>
      </c>
    </row>
    <row r="4">
      <c r="A4" t="inlineStr">
        <is>
          <t>1-2</t>
        </is>
      </c>
      <c r="B4" t="inlineStr">
        <is>
          <t>پایه تر</t>
        </is>
      </c>
      <c r="C4" t="inlineStr">
        <is>
          <t>پایه خشک</t>
        </is>
      </c>
      <c r="D4" t="inlineStr">
        <is>
          <t>اصلاح فرمول</t>
        </is>
      </c>
    </row>
    <row r="5">
      <c r="A5" t="inlineStr">
        <is>
          <t>1-4ج</t>
        </is>
      </c>
      <c r="B5" t="inlineStr">
        <is>
          <t>1.51</t>
        </is>
      </c>
      <c r="C5" t="inlineStr">
        <is>
          <t>2.6x</t>
        </is>
      </c>
      <c r="D5" t="inlineStr">
        <is>
          <t>غیرممکن فیزیکی</t>
        </is>
      </c>
    </row>
    <row r="6">
      <c r="A6" t="inlineStr">
        <is>
          <t>2-4</t>
        </is>
      </c>
      <c r="B6" t="inlineStr">
        <is>
          <t>11.9</t>
        </is>
      </c>
      <c r="C6" t="inlineStr">
        <is>
          <t>20.5</t>
        </is>
      </c>
      <c r="D6" t="inlineStr">
        <is>
          <t>خطای فاکتور kgf</t>
        </is>
      </c>
    </row>
    <row r="7">
      <c r="A7" t="inlineStr">
        <is>
          <t>4-3</t>
        </is>
      </c>
      <c r="B7" t="inlineStr">
        <is>
          <t>33.466</t>
        </is>
      </c>
      <c r="C7" t="inlineStr">
        <is>
          <t>7.5</t>
        </is>
      </c>
      <c r="D7" t="inlineStr">
        <is>
          <t>خطای فرمول خمشی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گزارش نهایی آزمایشگاه</t>
        </is>
      </c>
    </row>
    <row r="3">
      <c r="A3" s="2" t="inlineStr">
        <is>
          <t>آزمایش</t>
        </is>
      </c>
      <c r="B3" s="2" t="inlineStr">
        <is>
          <t>نتیجه</t>
        </is>
      </c>
      <c r="C3" s="2" t="inlineStr">
        <is>
          <t>وضعیت</t>
        </is>
      </c>
    </row>
    <row r="4">
      <c r="A4" s="3" t="inlineStr">
        <is>
          <t>رطوبت</t>
        </is>
      </c>
      <c r="B4">
        <f>'1-2 رطوبت'!C6</f>
        <v/>
      </c>
      <c r="C4">
        <f>IF(B4="","انجام نشده","✅")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2026-08-09T14:07:46Z</dcterms:created>
  <dcterms:modified xsi:type="dcterms:W3CDTF">2026-08-09T14:07:46Z</dcterms:modified>
</cp:coreProperties>
</file>