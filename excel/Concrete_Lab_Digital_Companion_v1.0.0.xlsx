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E42"/>
  <bookViews>
    <workbookView visibility="visible" minimized="0" showHorizontalScroll="1" showVerticalScroll="1" showSheetTabs="1" tabRatio="600" firstSheet="0" activeTab="0" autoFilterDateGrouping="1"/>
  </bookViews>
  <sheets>
    <sheet name="00_راهنما" sheetId="1" state="visible" r:id="rId1"/>
    <sheet name="01_اطلاعات_آزمون" sheetId="2" state="visible" r:id="rId2"/>
    <sheet name="1-1_دانه‌بندی" sheetId="3" state="visible" r:id="rId3"/>
    <sheet name="1-2_رطوبت" sheetId="4" state="visible" r:id="rId4"/>
    <sheet name="1-3_وزن_مخصوص" sheetId="5" state="visible" r:id="rId5"/>
    <sheet name="1-4_جذب_آب" sheetId="6" state="visible" r:id="rId6"/>
    <sheet name="1-5_چگالی" sheetId="7" state="visible" r:id="rId7"/>
    <sheet name="1-6_معادل_ماسه" sheetId="8" state="visible" r:id="rId8"/>
    <sheet name="1-7_شکل_دانه" sheetId="9" state="visible" r:id="rId9"/>
    <sheet name="1-8_مواد_نرم" sheetId="10" state="visible" r:id="rId10"/>
    <sheet name="2-1_وزن_واحد" sheetId="11" state="visible" r:id="rId11"/>
    <sheet name="2-2_ویکات" sheetId="12" state="visible" r:id="rId12"/>
    <sheet name="2-3_گیرش" sheetId="13" state="visible" r:id="rId13"/>
    <sheet name="2-4_مقاومت_ملات" sheetId="14" state="visible" r:id="rId14"/>
    <sheet name="3-1_اسلامپ" sheetId="15" state="visible" r:id="rId15"/>
    <sheet name="3-2_تراکم" sheetId="16" state="visible" r:id="rId16"/>
    <sheet name="3-3_وزن_مخصوص_بتن" sheetId="17" state="visible" r:id="rId17"/>
    <sheet name="4-1_فشاری" sheetId="18" state="visible" r:id="rId18"/>
    <sheet name="4-2_کشش_قطری" sheetId="19" state="visible" r:id="rId19"/>
    <sheet name="4-3_خمشی" sheetId="20" state="visible" r:id="rId20"/>
    <sheet name="4-4_اولتراسونیک" sheetId="21" state="visible" r:id="rId21"/>
    <sheet name="4-5_چکش_اشمیت" sheetId="22" state="visible" r:id="rId22"/>
    <sheet name="03_گزارش" sheetId="23" state="visible" r:id="rId23"/>
    <sheet name="04_داشبورد" sheetId="24" state="visible" r:id="rId24"/>
    <sheet name="05_QA_Test" sheetId="25" state="visible" r:id="rId25"/>
    <sheet name="06_خطاها_هشدارها" sheetId="26" state="visible" r:id="rId26"/>
    <sheet name="_Reference_DB" sheetId="27" state="hidden" r:id="rId27"/>
    <sheet name="_Standards" sheetId="28" state="hidden" r:id="rId28"/>
    <sheet name="_Validation_Data" sheetId="29" state="hidden" r:id="rId29"/>
    <sheet name="_Glossary" sheetId="30" state="hidden" r:id="rId30"/>
    <sheet name="_Materials_DB" sheetId="31" state="hidden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ahoma"/>
      <b val="1"/>
      <color rgb="001F4E79"/>
      <sz val="11"/>
    </font>
    <font>
      <name val="Tahoma"/>
      <b val="1"/>
      <color rgb="001F4E79"/>
      <sz val="14"/>
    </font>
    <font>
      <name val="Tahoma"/>
      <i val="1"/>
      <color rgb="00666666"/>
      <sz val="10"/>
    </font>
    <font>
      <name val="Tahoma"/>
      <b val="1"/>
      <color rgb="00FFFFFF"/>
      <sz val="11"/>
    </font>
    <font>
      <name val="Tahoma"/>
      <b val="1"/>
      <color rgb="001F4E79"/>
      <sz val="12"/>
    </font>
    <font>
      <name val="Tahoma"/>
      <b val="1"/>
      <color rgb="00C00000"/>
      <sz val="11"/>
    </font>
    <font>
      <name val="Tahoma"/>
      <sz val="11"/>
    </font>
    <font>
      <b val="1"/>
    </font>
    <font>
      <name val="Calibri"/>
      <sz val="11"/>
    </font>
    <font>
      <i val="1"/>
      <color rgb="00C00000"/>
    </font>
    <font>
      <name val="Tahoma"/>
      <color rgb="00006100"/>
      <sz val="11"/>
    </font>
    <font>
      <name val="Tahoma"/>
      <b val="1"/>
      <color rgb="001F4E79"/>
      <sz val="16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1" applyProtection="1" pivotButton="0" quotePrefix="0" xfId="0">
      <protection locked="0" hidden="0"/>
    </xf>
    <xf numFmtId="0" fontId="4" fillId="7" borderId="0" applyAlignment="1" pivotButton="0" quotePrefix="0" xfId="0">
      <alignment horizontal="center"/>
    </xf>
    <xf numFmtId="0" fontId="0" fillId="2" borderId="0" applyProtection="1" pivotButton="0" quotePrefix="0" xfId="0">
      <protection locked="0" hidden="0"/>
    </xf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منحنی دانه‌بندی</a:t>
            </a:r>
          </a:p>
        </rich>
      </tx>
    </title>
    <plotArea>
      <scatterChart>
        <ser>
          <idx val="0"/>
          <order val="0"/>
          <tx>
            <v>نمونه</v>
          </tx>
          <spPr>
            <a:ln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'1-1_دانه‌بندی'!$H$11:$H$23</f>
            </numRef>
          </xVal>
          <yVal>
            <numRef>
              <f>'1-1_دانه‌بندی'!$I$11:$I$23</f>
            </numRef>
          </yVal>
        </ser>
        <axId val="10"/>
        <axId val="20"/>
      </scatterChart>
      <valAx>
        <axId val="10"/>
        <scaling>
          <logBase val="10"/>
          <orientation val="maxMin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اندازه الک (mm)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درصد عبوری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00_راهنما</t>
        </is>
      </c>
    </row>
    <row r="4">
      <c r="A4" s="3" t="inlineStr">
        <is>
          <t>Legend، ناوبری، Changelog</t>
        </is>
      </c>
    </row>
    <row r="6">
      <c r="A6" s="4" t="inlineStr">
        <is>
          <t>🎨 راهنمای رنگ‌ها (WCAG)</t>
        </is>
      </c>
    </row>
    <row r="8">
      <c r="A8" t="inlineStr">
        <is>
          <t>ورودی</t>
        </is>
      </c>
      <c r="B8" s="5" t="n"/>
      <c r="C8" t="inlineStr">
        <is>
          <t>زرد - داده خام</t>
        </is>
      </c>
    </row>
    <row r="9">
      <c r="A9" t="inlineStr">
        <is>
          <t>محاسبه</t>
        </is>
      </c>
      <c r="B9" s="6" t="n"/>
      <c r="C9" t="inlineStr">
        <is>
          <t>خاکستری - قفل</t>
        </is>
      </c>
    </row>
    <row r="10">
      <c r="A10" t="inlineStr">
        <is>
          <t>قبول</t>
        </is>
      </c>
      <c r="B10" s="7" t="n"/>
      <c r="C10" t="inlineStr">
        <is>
          <t>سبز - معتبر</t>
        </is>
      </c>
    </row>
    <row r="11">
      <c r="A11" t="inlineStr">
        <is>
          <t>هشدار</t>
        </is>
      </c>
      <c r="B11" s="8" t="n"/>
      <c r="C11" t="inlineStr">
        <is>
          <t>نارنجی - بررسی</t>
        </is>
      </c>
    </row>
    <row r="12">
      <c r="A12" t="inlineStr">
        <is>
          <t>رد</t>
        </is>
      </c>
      <c r="B12" s="9" t="n"/>
      <c r="C12" t="inlineStr">
        <is>
          <t>قرمز - خطای فیزیکی</t>
        </is>
      </c>
    </row>
    <row r="15">
      <c r="A15" s="10" t="inlineStr">
        <is>
          <t>📜 قانون طلایی: اول دستی حساب کن، بعد اینجا راستی‌آزمایی کن</t>
        </is>
      </c>
    </row>
    <row r="17">
      <c r="A17" s="11" t="inlineStr">
        <is>
          <t>🔐 رمز عبور محافظت: ConcreteLab2026! (فقط در README)</t>
        </is>
      </c>
    </row>
    <row r="19">
      <c r="A19" s="12" t="inlineStr">
        <is>
          <t>نسخه: v1.0.0 | تاریخ: 2026-08-09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01_اطلاعات_آزمون</t>
        </is>
      </c>
    </row>
    <row r="4">
      <c r="A4" s="3" t="inlineStr">
        <is>
          <t>شناسنامه پروژه و نمونه</t>
        </is>
      </c>
    </row>
    <row r="8">
      <c r="A8" s="12" t="inlineStr">
        <is>
          <t>نام پروژه:</t>
        </is>
      </c>
      <c r="B8" s="13" t="n"/>
    </row>
    <row r="9">
      <c r="A9" s="12" t="inlineStr">
        <is>
          <t>شماره نمونه:</t>
        </is>
      </c>
      <c r="B9" s="13" t="n"/>
    </row>
    <row r="10">
      <c r="A10" s="12" t="inlineStr">
        <is>
          <t>تاریخ:</t>
        </is>
      </c>
      <c r="B10" s="13" t="n"/>
    </row>
    <row r="11">
      <c r="A11" s="12" t="inlineStr">
        <is>
          <t>اپراتور:</t>
        </is>
      </c>
      <c r="B11" s="13" t="n"/>
    </row>
    <row r="12">
      <c r="A12" s="12" t="inlineStr">
        <is>
          <t>دستگاه:</t>
        </is>
      </c>
      <c r="B12" s="13" t="n"/>
    </row>
    <row r="13">
      <c r="A13" s="12" t="inlineStr">
        <is>
          <t>دما (°C):</t>
        </is>
      </c>
      <c r="B13" s="13" t="n"/>
    </row>
    <row r="14">
      <c r="A14" s="12" t="inlineStr">
        <is>
          <t>رطوبت (%):</t>
        </is>
      </c>
      <c r="B14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1-1_دانه‌بندی</t>
        </is>
      </c>
    </row>
    <row r="4">
      <c r="A4" s="3" t="inlineStr">
        <is>
          <t>ASTM C136 / ISIRI 4977</t>
        </is>
      </c>
    </row>
    <row r="8">
      <c r="A8" s="12" t="inlineStr">
        <is>
          <t>جرم خشک اولیه (g):</t>
        </is>
      </c>
      <c r="B8" s="13" t="n"/>
    </row>
    <row r="10">
      <c r="A10" s="14" t="inlineStr">
        <is>
          <t>الک</t>
        </is>
      </c>
      <c r="B10" s="14" t="inlineStr">
        <is>
          <t>مانده (g)</t>
        </is>
      </c>
      <c r="C10" s="14" t="inlineStr">
        <is>
          <t>%مانده</t>
        </is>
      </c>
      <c r="D10" s="14" t="inlineStr">
        <is>
          <t>%تجمعی</t>
        </is>
      </c>
      <c r="E10" s="14" t="inlineStr">
        <is>
          <t>%عبوری</t>
        </is>
      </c>
      <c r="F10" s="14" t="inlineStr">
        <is>
          <t>استاندارد</t>
        </is>
      </c>
    </row>
    <row r="11">
      <c r="A11" t="inlineStr">
        <is>
          <t>75</t>
        </is>
      </c>
      <c r="B11" s="15" t="n"/>
      <c r="C11">
        <f>IFERROR(ROUND(B11/B$8*100,1),"")</f>
        <v/>
      </c>
      <c r="D11">
        <f>C11</f>
        <v/>
      </c>
      <c r="E11">
        <f>IFERROR(100-D11,"")</f>
        <v/>
      </c>
      <c r="F11" t="inlineStr">
        <is>
          <t>FALSE</t>
        </is>
      </c>
      <c r="H11" t="n">
        <v>75</v>
      </c>
      <c r="I11">
        <f>E11</f>
        <v/>
      </c>
    </row>
    <row r="12">
      <c r="A12" t="inlineStr">
        <is>
          <t>50</t>
        </is>
      </c>
      <c r="B12" s="15" t="n"/>
      <c r="C12">
        <f>IFERROR(ROUND(B12/B$8*100,1),"")</f>
        <v/>
      </c>
      <c r="D12">
        <f>IFERROR(C12+D11,C12)</f>
        <v/>
      </c>
      <c r="E12">
        <f>IFERROR(100-D12,"")</f>
        <v/>
      </c>
      <c r="F12" t="inlineStr">
        <is>
          <t>FALSE</t>
        </is>
      </c>
      <c r="H12" t="n">
        <v>50</v>
      </c>
      <c r="I12">
        <f>E12</f>
        <v/>
      </c>
    </row>
    <row r="13">
      <c r="A13" t="inlineStr">
        <is>
          <t>37.5</t>
        </is>
      </c>
      <c r="B13" s="15" t="n"/>
      <c r="C13">
        <f>IFERROR(ROUND(B13/B$8*100,1),"")</f>
        <v/>
      </c>
      <c r="D13">
        <f>IFERROR(C13+D12,C13)</f>
        <v/>
      </c>
      <c r="E13">
        <f>IFERROR(100-D13,"")</f>
        <v/>
      </c>
      <c r="F13" t="inlineStr">
        <is>
          <t>FALSE</t>
        </is>
      </c>
      <c r="H13" t="n">
        <v>37.5</v>
      </c>
      <c r="I13">
        <f>E13</f>
        <v/>
      </c>
    </row>
    <row r="14">
      <c r="A14" t="inlineStr">
        <is>
          <t>25</t>
        </is>
      </c>
      <c r="B14" s="15" t="n"/>
      <c r="C14">
        <f>IFERROR(ROUND(B14/B$8*100,1),"")</f>
        <v/>
      </c>
      <c r="D14">
        <f>IFERROR(C14+D13,C14)</f>
        <v/>
      </c>
      <c r="E14">
        <f>IFERROR(100-D14,"")</f>
        <v/>
      </c>
      <c r="F14" t="inlineStr">
        <is>
          <t>FALSE</t>
        </is>
      </c>
      <c r="H14" t="n">
        <v>25</v>
      </c>
      <c r="I14">
        <f>E14</f>
        <v/>
      </c>
    </row>
    <row r="15">
      <c r="A15" t="inlineStr">
        <is>
          <t>19</t>
        </is>
      </c>
      <c r="B15" s="15" t="n"/>
      <c r="C15">
        <f>IFERROR(ROUND(B15/B$8*100,1),"")</f>
        <v/>
      </c>
      <c r="D15">
        <f>IFERROR(C15+D14,C15)</f>
        <v/>
      </c>
      <c r="E15">
        <f>IFERROR(100-D15,"")</f>
        <v/>
      </c>
      <c r="F15" t="inlineStr">
        <is>
          <t>FALSE</t>
        </is>
      </c>
      <c r="H15" t="n">
        <v>19</v>
      </c>
      <c r="I15">
        <f>E15</f>
        <v/>
      </c>
    </row>
    <row r="16">
      <c r="A16" t="inlineStr">
        <is>
          <t>12.5</t>
        </is>
      </c>
      <c r="B16" s="15" t="n"/>
      <c r="C16">
        <f>IFERROR(ROUND(B16/B$8*100,1),"")</f>
        <v/>
      </c>
      <c r="D16">
        <f>IFERROR(C16+D15,C16)</f>
        <v/>
      </c>
      <c r="E16">
        <f>IFERROR(100-D16,"")</f>
        <v/>
      </c>
      <c r="F16" t="inlineStr">
        <is>
          <t>FALSE</t>
        </is>
      </c>
      <c r="H16" t="n">
        <v>12.5</v>
      </c>
      <c r="I16">
        <f>E16</f>
        <v/>
      </c>
    </row>
    <row r="17">
      <c r="A17" t="inlineStr">
        <is>
          <t>9.5</t>
        </is>
      </c>
      <c r="B17" s="15" t="n"/>
      <c r="C17">
        <f>IFERROR(ROUND(B17/B$8*100,1),"")</f>
        <v/>
      </c>
      <c r="D17">
        <f>IFERROR(C17+D16,C17)</f>
        <v/>
      </c>
      <c r="E17">
        <f>IFERROR(100-D17,"")</f>
        <v/>
      </c>
      <c r="F17" t="inlineStr">
        <is>
          <t>FALSE</t>
        </is>
      </c>
      <c r="H17" t="n">
        <v>9.5</v>
      </c>
      <c r="I17">
        <f>E17</f>
        <v/>
      </c>
    </row>
    <row r="18">
      <c r="A18" t="inlineStr">
        <is>
          <t>4.75</t>
        </is>
      </c>
      <c r="B18" s="15" t="n"/>
      <c r="C18">
        <f>IFERROR(ROUND(B18/B$8*100,1),"")</f>
        <v/>
      </c>
      <c r="D18">
        <f>IFERROR(C18+D17,C18)</f>
        <v/>
      </c>
      <c r="E18">
        <f>IFERROR(100-D18,"")</f>
        <v/>
      </c>
      <c r="F18" t="inlineStr">
        <is>
          <t>TRUE</t>
        </is>
      </c>
      <c r="H18" t="n">
        <v>4.75</v>
      </c>
      <c r="I18">
        <f>E18</f>
        <v/>
      </c>
    </row>
    <row r="19">
      <c r="A19" t="inlineStr">
        <is>
          <t>2.36</t>
        </is>
      </c>
      <c r="B19" s="15" t="n"/>
      <c r="C19">
        <f>IFERROR(ROUND(B19/B$8*100,1),"")</f>
        <v/>
      </c>
      <c r="D19">
        <f>IFERROR(C19+D18,C19)</f>
        <v/>
      </c>
      <c r="E19">
        <f>IFERROR(100-D19,"")</f>
        <v/>
      </c>
      <c r="F19" t="inlineStr">
        <is>
          <t>TRUE</t>
        </is>
      </c>
      <c r="H19" t="n">
        <v>2.36</v>
      </c>
      <c r="I19">
        <f>E19</f>
        <v/>
      </c>
    </row>
    <row r="20">
      <c r="A20" t="inlineStr">
        <is>
          <t>1.18</t>
        </is>
      </c>
      <c r="B20" s="15" t="n"/>
      <c r="C20">
        <f>IFERROR(ROUND(B20/B$8*100,1),"")</f>
        <v/>
      </c>
      <c r="D20">
        <f>IFERROR(C20+D19,C20)</f>
        <v/>
      </c>
      <c r="E20">
        <f>IFERROR(100-D20,"")</f>
        <v/>
      </c>
      <c r="F20" t="inlineStr">
        <is>
          <t>TRUE</t>
        </is>
      </c>
      <c r="H20" t="n">
        <v>1.18</v>
      </c>
      <c r="I20">
        <f>E20</f>
        <v/>
      </c>
    </row>
    <row r="21">
      <c r="A21" t="inlineStr">
        <is>
          <t>0.6</t>
        </is>
      </c>
      <c r="B21" s="15" t="n"/>
      <c r="C21">
        <f>IFERROR(ROUND(B21/B$8*100,1),"")</f>
        <v/>
      </c>
      <c r="D21">
        <f>IFERROR(C21+D20,C21)</f>
        <v/>
      </c>
      <c r="E21">
        <f>IFERROR(100-D21,"")</f>
        <v/>
      </c>
      <c r="F21" t="inlineStr">
        <is>
          <t>TRUE</t>
        </is>
      </c>
      <c r="H21" t="n">
        <v>0.6</v>
      </c>
      <c r="I21">
        <f>E21</f>
        <v/>
      </c>
    </row>
    <row r="22">
      <c r="A22" t="inlineStr">
        <is>
          <t>0.3</t>
        </is>
      </c>
      <c r="B22" s="15" t="n"/>
      <c r="C22">
        <f>IFERROR(ROUND(B22/B$8*100,1),"")</f>
        <v/>
      </c>
      <c r="D22">
        <f>IFERROR(C22+D21,C22)</f>
        <v/>
      </c>
      <c r="E22">
        <f>IFERROR(100-D22,"")</f>
        <v/>
      </c>
      <c r="F22" t="inlineStr">
        <is>
          <t>TRUE</t>
        </is>
      </c>
      <c r="H22" t="n">
        <v>0.3</v>
      </c>
      <c r="I22">
        <f>E22</f>
        <v/>
      </c>
    </row>
    <row r="23">
      <c r="A23" t="inlineStr">
        <is>
          <t>0.15</t>
        </is>
      </c>
      <c r="B23" s="15" t="n"/>
      <c r="C23">
        <f>IFERROR(ROUND(B23/B$8*100,1),"")</f>
        <v/>
      </c>
      <c r="D23">
        <f>IFERROR(C23+D22,C23)</f>
        <v/>
      </c>
      <c r="E23">
        <f>IFERROR(100-D23,"")</f>
        <v/>
      </c>
      <c r="F23" t="inlineStr">
        <is>
          <t>TRUE</t>
        </is>
      </c>
      <c r="H23" t="n">
        <v>0.15</v>
      </c>
      <c r="I23">
        <f>E23</f>
        <v/>
      </c>
    </row>
    <row r="25">
      <c r="A25" t="inlineStr">
        <is>
          <t>خطای جرم (%)</t>
        </is>
      </c>
      <c r="B25">
        <f>IFERROR(ROUND(ABS(B8-SUM(B11:B23))/B8*100,2),"")</f>
        <v/>
      </c>
    </row>
    <row r="26">
      <c r="A26" t="inlineStr">
        <is>
          <t>مدول نرمی (FM)</t>
        </is>
      </c>
      <c r="B26" s="16">
        <f>IFERROR(SUMPRODUCT((F11:F23=TRUE)*D11:D23)/100,"")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1-2_رطوبت</t>
        </is>
      </c>
    </row>
    <row r="4">
      <c r="A4" s="3" t="inlineStr">
        <is>
          <t>ASTM C566 (پایه خشک)</t>
        </is>
      </c>
    </row>
    <row r="8">
      <c r="A8" s="12" t="inlineStr">
        <is>
          <t>W1 - وزن تر (g):</t>
        </is>
      </c>
      <c r="B8" s="13" t="n"/>
    </row>
    <row r="9">
      <c r="A9" s="12" t="inlineStr">
        <is>
          <t>W2 - وزن خشک (g):</t>
        </is>
      </c>
      <c r="B9" s="13" t="n"/>
    </row>
    <row r="11">
      <c r="A11" s="12" t="inlineStr">
        <is>
          <t>رطوبت (%):</t>
        </is>
      </c>
      <c r="B11" s="17">
        <f>IFERROR(ROUND((B8-B9)/B9*100,2),"—")</f>
        <v/>
      </c>
    </row>
    <row r="13">
      <c r="A13" s="18" t="inlineStr">
        <is>
          <t>⚠️ طبق ASTM C566، رطوبت بر پایه وزن خشک (W2) محاسبه می‌شود.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1-3_وزن_مخصوص</t>
        </is>
      </c>
    </row>
    <row r="4">
      <c r="A4" s="3" t="inlineStr">
        <is>
          <t>ASTM C127/C128</t>
        </is>
      </c>
    </row>
    <row r="8">
      <c r="A8" s="12" t="inlineStr">
        <is>
          <t>A - وزن خشک (g):</t>
        </is>
      </c>
      <c r="B8" s="13" t="n"/>
    </row>
    <row r="9">
      <c r="A9" s="12" t="inlineStr">
        <is>
          <t>B - وزن SSD (g):</t>
        </is>
      </c>
      <c r="B9" s="13" t="n"/>
    </row>
    <row r="10">
      <c r="A10" s="12" t="inlineStr">
        <is>
          <t>C - وزن در آب (g):</t>
        </is>
      </c>
      <c r="B10" s="13" t="n"/>
    </row>
    <row r="12">
      <c r="A12" s="12" t="inlineStr">
        <is>
          <t>OD:</t>
        </is>
      </c>
      <c r="B12" s="17">
        <f>IFERROR(ROUND(B8/(B9-B10),2),"—")</f>
        <v/>
      </c>
    </row>
    <row r="13">
      <c r="A13" s="12" t="inlineStr">
        <is>
          <t>SSD:</t>
        </is>
      </c>
      <c r="B13" s="17">
        <f>IFERROR(ROUND(B9/(B9-B10),2),"—")</f>
        <v/>
      </c>
    </row>
    <row r="14">
      <c r="A14" s="12" t="inlineStr">
        <is>
          <t>App:</t>
        </is>
      </c>
      <c r="B14" s="17">
        <f>IFERROR(ROUND(B8/(B8-B10),2),"—")</f>
        <v/>
      </c>
    </row>
    <row r="15">
      <c r="A15" s="12" t="inlineStr">
        <is>
          <t>جذب (%):</t>
        </is>
      </c>
      <c r="B15" s="17">
        <f>IFERROR(ROUND((B9-B8)/B8*100,2),"—")</f>
        <v/>
      </c>
    </row>
    <row r="17">
      <c r="A17" t="inlineStr">
        <is>
          <t>کنترل فیزیکی:</t>
        </is>
      </c>
      <c r="B17" s="19">
        <f>IF(B13&lt;B12,"❌ خطای فیزیکی: SSD &lt; OD","✅ معتبر")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1-4_جذب_آب</t>
        </is>
      </c>
    </row>
    <row r="4">
      <c r="A4" s="3" t="inlineStr">
        <is>
          <t>ASTM C128</t>
        </is>
      </c>
    </row>
    <row r="8">
      <c r="A8" s="12" t="inlineStr">
        <is>
          <t>A خشک</t>
        </is>
      </c>
      <c r="B8" s="13" t="n"/>
    </row>
    <row r="9">
      <c r="A9" s="12" t="inlineStr">
        <is>
          <t>S SSD</t>
        </is>
      </c>
      <c r="B9" s="13" t="n"/>
    </row>
    <row r="10">
      <c r="A10" s="12" t="inlineStr">
        <is>
          <t>B در آب</t>
        </is>
      </c>
      <c r="B10" s="13" t="n"/>
    </row>
    <row r="12">
      <c r="A12" s="12" t="inlineStr">
        <is>
          <t>OD</t>
        </is>
      </c>
      <c r="B12" s="17">
        <f>IFERROR(ROUND(B8/(B9-B10),2),"—")</f>
        <v/>
      </c>
    </row>
    <row r="13">
      <c r="A13" s="12" t="inlineStr">
        <is>
          <t>SSD</t>
        </is>
      </c>
      <c r="B13" s="17">
        <f>IFERROR(ROUND(B9/(B9-B10),2),"—")</f>
        <v/>
      </c>
    </row>
    <row r="14">
      <c r="A14" s="12" t="inlineStr">
        <is>
          <t>App</t>
        </is>
      </c>
      <c r="B14" s="17" t="inlineStr">
        <is>
          <t>"غیرقابل محاسبه (حجم‌سنجی)"</t>
        </is>
      </c>
    </row>
    <row r="15">
      <c r="A15" s="12" t="inlineStr">
        <is>
          <t>جذب %</t>
        </is>
      </c>
      <c r="B15" s="17">
        <f>IFERROR(ROUND((B9-B8)/B8*100,2),"—")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1-5_چگالی</t>
        </is>
      </c>
    </row>
    <row r="4">
      <c r="A4" s="3" t="inlineStr">
        <is>
          <t>ASTM C29</t>
        </is>
      </c>
    </row>
    <row r="8">
      <c r="A8" s="12" t="inlineStr">
        <is>
          <t>T ظرف</t>
        </is>
      </c>
      <c r="B8" s="13" t="n"/>
    </row>
    <row r="9">
      <c r="A9" s="12" t="inlineStr">
        <is>
          <t>G ظرف+مصالح</t>
        </is>
      </c>
      <c r="B9" s="13" t="n"/>
    </row>
    <row r="10">
      <c r="A10" s="12" t="inlineStr">
        <is>
          <t>V حجم (cm3)</t>
        </is>
      </c>
      <c r="B10" s="13" t="n"/>
    </row>
    <row r="11">
      <c r="A11" s="12" t="inlineStr">
        <is>
          <t>S وزن مخصوص</t>
        </is>
      </c>
      <c r="B11" s="13" t="n"/>
    </row>
    <row r="13">
      <c r="A13" s="12" t="inlineStr">
        <is>
          <t>چگالی (kg/m3)</t>
        </is>
      </c>
      <c r="B13" s="17">
        <f>IFERROR(ROUND((B9-B8)/B10*1000,1),"—")</f>
        <v/>
      </c>
    </row>
    <row r="14">
      <c r="A14" s="12" t="inlineStr">
        <is>
          <t>خالی %</t>
        </is>
      </c>
      <c r="B14" s="17">
        <f>IFERROR(ROUND((B11*1000-B13)/(B11*1000)*100,1),"—")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1-6_معادل_ماسه</t>
        </is>
      </c>
    </row>
    <row r="4">
      <c r="A4" s="3" t="inlineStr">
        <is>
          <t>ASTM D2419</t>
        </is>
      </c>
    </row>
    <row r="8">
      <c r="A8" s="12" t="inlineStr">
        <is>
          <t>h ماسه (mm)</t>
        </is>
      </c>
      <c r="B8" s="13" t="n"/>
    </row>
    <row r="9">
      <c r="A9" s="12" t="inlineStr">
        <is>
          <t>h رس (mm)</t>
        </is>
      </c>
      <c r="B9" s="13" t="n"/>
    </row>
    <row r="11">
      <c r="A11" s="12" t="inlineStr">
        <is>
          <t>SE %</t>
        </is>
      </c>
      <c r="B11" s="17">
        <f>IFERROR(ROUNDUP(100*B8/(B8+B9),0),"—")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1-7_شکل_دانه</t>
        </is>
      </c>
    </row>
    <row r="4">
      <c r="A4" s="3" t="inlineStr">
        <is>
          <t>ASTM D4791</t>
        </is>
      </c>
    </row>
    <row r="8">
      <c r="A8" s="12" t="inlineStr">
        <is>
          <t>W کل (g)</t>
        </is>
      </c>
      <c r="B8" s="13" t="n"/>
    </row>
    <row r="9">
      <c r="A9" s="12" t="inlineStr">
        <is>
          <t>W دراز</t>
        </is>
      </c>
      <c r="B9" s="13" t="n"/>
    </row>
    <row r="10">
      <c r="A10" s="12" t="inlineStr">
        <is>
          <t>W پهن</t>
        </is>
      </c>
      <c r="B10" s="13" t="n"/>
    </row>
    <row r="12">
      <c r="A12" s="12" t="inlineStr">
        <is>
          <t>% دراز</t>
        </is>
      </c>
      <c r="B12" s="17">
        <f>IFERROR(ROUND(B9/B8*100,1),"—")</f>
        <v/>
      </c>
    </row>
    <row r="13">
      <c r="A13" s="12" t="inlineStr">
        <is>
          <t>% پهن</t>
        </is>
      </c>
      <c r="B13" s="17">
        <f>IFERROR(ROUND(B10/B8*100,1),"—")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1-8_مواد_نرم</t>
        </is>
      </c>
    </row>
    <row r="4">
      <c r="A4" s="3" t="inlineStr">
        <is>
          <t>ASTM C117</t>
        </is>
      </c>
    </row>
    <row r="8">
      <c r="A8" s="12" t="inlineStr">
        <is>
          <t>W1 قبل شستشو (g)</t>
        </is>
      </c>
      <c r="B8" s="13" t="n"/>
    </row>
    <row r="9">
      <c r="A9" s="12" t="inlineStr">
        <is>
          <t>W2 بعد شستشو (g)</t>
        </is>
      </c>
      <c r="B9" s="13" t="n"/>
    </row>
    <row r="11">
      <c r="A11" s="12" t="inlineStr">
        <is>
          <t>% نرم</t>
        </is>
      </c>
      <c r="B11" s="17">
        <f>IFERROR(ROUND((B8-B9)/B8*100,2),"—")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2-1_وزن_واحد</t>
        </is>
      </c>
    </row>
    <row r="4">
      <c r="A4" s="3" t="inlineStr">
        <is>
          <t>ASTM C188</t>
        </is>
      </c>
    </row>
    <row r="8">
      <c r="A8" s="12" t="inlineStr">
        <is>
          <t>Ma خالی (g)</t>
        </is>
      </c>
      <c r="B8" s="13" t="n"/>
    </row>
    <row r="9">
      <c r="A9" s="12" t="inlineStr">
        <is>
          <t>Mt پر (g)</t>
        </is>
      </c>
      <c r="B9" s="13" t="n"/>
    </row>
    <row r="10">
      <c r="A10" s="12" t="inlineStr">
        <is>
          <t>V حجم (cm3)</t>
        </is>
      </c>
      <c r="B10" s="13" t="n"/>
    </row>
    <row r="12">
      <c r="A12" s="12" t="inlineStr">
        <is>
          <t>چگالی (g/cm3)</t>
        </is>
      </c>
      <c r="B12" s="17">
        <f>IFERROR(ROUND((B9-B8)/B10,3),"—")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2-2_ویکات</t>
        </is>
      </c>
    </row>
    <row r="4">
      <c r="A4" s="3" t="inlineStr">
        <is>
          <t>ASTM C187</t>
        </is>
      </c>
    </row>
    <row r="8">
      <c r="A8" s="12" t="inlineStr">
        <is>
          <t>سیمان (g)</t>
        </is>
      </c>
      <c r="B8" s="13" t="n"/>
    </row>
    <row r="9">
      <c r="A9" s="12" t="inlineStr">
        <is>
          <t>آب (g)</t>
        </is>
      </c>
      <c r="B9" s="13" t="n"/>
    </row>
    <row r="11">
      <c r="A11" s="12" t="inlineStr">
        <is>
          <t>% آب</t>
        </is>
      </c>
      <c r="B11" s="17">
        <f>IFERROR(ROUND(B9/B8*100,1),"—")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2-3_گیرش</t>
        </is>
      </c>
    </row>
    <row r="4">
      <c r="A4" s="3" t="inlineStr">
        <is>
          <t>ASTM C191</t>
        </is>
      </c>
    </row>
    <row r="8">
      <c r="A8" s="12" t="inlineStr">
        <is>
          <t>E اولیه</t>
        </is>
      </c>
      <c r="B8" s="13" t="n"/>
    </row>
    <row r="9">
      <c r="A9" s="12" t="inlineStr">
        <is>
          <t>C میانی</t>
        </is>
      </c>
      <c r="B9" s="13" t="n"/>
    </row>
    <row r="10">
      <c r="A10" s="12" t="inlineStr">
        <is>
          <t>H زمان</t>
        </is>
      </c>
      <c r="B10" s="13" t="n"/>
    </row>
    <row r="11">
      <c r="A11" s="12" t="inlineStr">
        <is>
          <t>D ثانویه</t>
        </is>
      </c>
      <c r="B11" s="13" t="n"/>
    </row>
    <row r="13">
      <c r="A13" s="12" t="inlineStr">
        <is>
          <t>گیرش اولیه (min)</t>
        </is>
      </c>
      <c r="B13" s="17">
        <f>IFERROR(ROUND(B8+(B10-B8)*(B9-25)/(B9-B11),0),"—")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2-4_مقاومت_ملات</t>
        </is>
      </c>
    </row>
    <row r="4">
      <c r="A4" s="3" t="inlineStr">
        <is>
          <t>ASTM C109</t>
        </is>
      </c>
    </row>
    <row r="8">
      <c r="A8" s="12" t="inlineStr">
        <is>
          <t>P1 (kgf)</t>
        </is>
      </c>
      <c r="B8" s="13" t="n"/>
    </row>
    <row r="9">
      <c r="A9" s="12" t="inlineStr">
        <is>
          <t>P2</t>
        </is>
      </c>
      <c r="B9" s="13" t="n"/>
    </row>
    <row r="10">
      <c r="A10" s="12" t="inlineStr">
        <is>
          <t>P3</t>
        </is>
      </c>
      <c r="B10" s="13" t="n"/>
    </row>
    <row r="11">
      <c r="A11" s="12" t="inlineStr">
        <is>
          <t>P4</t>
        </is>
      </c>
      <c r="B11" s="13" t="n"/>
    </row>
    <row r="12">
      <c r="A12" s="12" t="inlineStr">
        <is>
          <t>P5</t>
        </is>
      </c>
      <c r="B12" s="13" t="n"/>
    </row>
    <row r="13">
      <c r="A13" s="12" t="inlineStr">
        <is>
          <t>P6</t>
        </is>
      </c>
      <c r="B13" s="13" t="n"/>
    </row>
    <row r="15">
      <c r="A15" s="12" t="inlineStr">
        <is>
          <t>مقاومت MPa</t>
        </is>
      </c>
      <c r="B15" s="17">
        <f>IFERROR(ROUND(AVERAGE(B8:B13)*9.80665/1600,1),"—")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3-1_اسلامپ</t>
        </is>
      </c>
    </row>
    <row r="4">
      <c r="A4" s="3" t="inlineStr">
        <is>
          <t>ASTM C143</t>
        </is>
      </c>
    </row>
    <row r="8">
      <c r="A8" s="12" t="inlineStr">
        <is>
          <t>h افت (mm)</t>
        </is>
      </c>
      <c r="B8" s="13" t="n"/>
    </row>
    <row r="9">
      <c r="A9" s="12" t="inlineStr">
        <is>
          <t>ریزش جانبی</t>
        </is>
      </c>
      <c r="B9" s="13" t="n"/>
    </row>
    <row r="11">
      <c r="A11" s="12" t="inlineStr">
        <is>
          <t>اسلامپ mm</t>
        </is>
      </c>
      <c r="B11" s="17">
        <f>IFERROR(MROUND(300-B8,5),"—")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3-2_تراکم</t>
        </is>
      </c>
    </row>
    <row r="4">
      <c r="A4" s="3" t="inlineStr">
        <is>
          <t>BS 1881</t>
        </is>
      </c>
    </row>
    <row r="8">
      <c r="A8" s="12" t="inlineStr">
        <is>
          <t>h1 اولیه (mm)</t>
        </is>
      </c>
      <c r="B8" s="13" t="n"/>
    </row>
    <row r="9">
      <c r="A9" s="12" t="inlineStr">
        <is>
          <t>h2 ثانویه (mm)</t>
        </is>
      </c>
      <c r="B9" s="13" t="n"/>
    </row>
    <row r="11">
      <c r="A11" s="12" t="inlineStr">
        <is>
          <t>% تراکم</t>
        </is>
      </c>
      <c r="B11" s="17">
        <f>IFERROR(ROUND((B8-B9)/B8*100,1),"—")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3-3_وزن_مخصوص_بتن</t>
        </is>
      </c>
    </row>
    <row r="4">
      <c r="A4" s="3" t="inlineStr">
        <is>
          <t>ASTM C138</t>
        </is>
      </c>
    </row>
    <row r="8">
      <c r="A8" s="12" t="inlineStr">
        <is>
          <t>m1 خالی (kg)</t>
        </is>
      </c>
      <c r="B8" s="13" t="n"/>
    </row>
    <row r="9">
      <c r="A9" s="12" t="inlineStr">
        <is>
          <t>m2 پر (kg)</t>
        </is>
      </c>
      <c r="B9" s="13" t="n"/>
    </row>
    <row r="10">
      <c r="A10" s="12" t="inlineStr">
        <is>
          <t>V حجم (m3)</t>
        </is>
      </c>
      <c r="B10" s="13" t="n"/>
    </row>
    <row r="12">
      <c r="A12" s="12" t="inlineStr">
        <is>
          <t>چگالی (kg/m3)</t>
        </is>
      </c>
      <c r="B12" s="17">
        <f>IFERROR(ROUND((B9-B8)/B10,1),"—")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4-1_فشاری</t>
        </is>
      </c>
    </row>
    <row r="4">
      <c r="A4" s="3" t="inlineStr">
        <is>
          <t>ASTM C39</t>
        </is>
      </c>
    </row>
    <row r="8">
      <c r="A8" s="12" t="inlineStr">
        <is>
          <t>d قطر/ضلع (mm)</t>
        </is>
      </c>
      <c r="B8" s="13" t="n"/>
    </row>
    <row r="9">
      <c r="A9" s="12" t="inlineStr">
        <is>
          <t>F بار (kN)</t>
        </is>
      </c>
      <c r="B9" s="13" t="n"/>
    </row>
    <row r="11">
      <c r="A11" s="12" t="inlineStr">
        <is>
          <t>مساحت (mm2)</t>
        </is>
      </c>
      <c r="B11" s="17">
        <f>IFERROR(ROUND(PI()/4*B8^2,1),"—")</f>
        <v/>
      </c>
    </row>
    <row r="12">
      <c r="A12" s="12" t="inlineStr">
        <is>
          <t>مقاومت MPa</t>
        </is>
      </c>
      <c r="B12" s="17">
        <f>IFERROR(ROUND(B9*1000/B11,1),"—")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4-2_کشش_قطری</t>
        </is>
      </c>
    </row>
    <row r="4">
      <c r="A4" s="3" t="inlineStr">
        <is>
          <t>ASTM C496</t>
        </is>
      </c>
    </row>
    <row r="8">
      <c r="A8" s="12" t="inlineStr">
        <is>
          <t>d قطر (mm)</t>
        </is>
      </c>
      <c r="B8" s="13" t="n"/>
    </row>
    <row r="9">
      <c r="A9" s="12" t="inlineStr">
        <is>
          <t>L طول (mm)</t>
        </is>
      </c>
      <c r="B9" s="13" t="n"/>
    </row>
    <row r="10">
      <c r="A10" s="12" t="inlineStr">
        <is>
          <t>P بار (N)</t>
        </is>
      </c>
      <c r="B10" s="13" t="n"/>
    </row>
    <row r="12">
      <c r="A12" s="12" t="inlineStr">
        <is>
          <t>مقاومت MPa</t>
        </is>
      </c>
      <c r="B12" s="17">
        <f>IFERROR(ROUND(2*B10/(PI()*B8*B9),2),"—")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4-3_خمشی</t>
        </is>
      </c>
    </row>
    <row r="4">
      <c r="A4" s="3" t="inlineStr">
        <is>
          <t>ASTM C78</t>
        </is>
      </c>
    </row>
    <row r="8">
      <c r="A8" s="12" t="inlineStr">
        <is>
          <t>b عرض (mm)</t>
        </is>
      </c>
      <c r="B8" s="13" t="n"/>
    </row>
    <row r="9">
      <c r="A9" s="12" t="inlineStr">
        <is>
          <t>d ارتفاع (mm)</t>
        </is>
      </c>
      <c r="B9" s="13" t="n"/>
    </row>
    <row r="10">
      <c r="A10" s="12" t="inlineStr">
        <is>
          <t>L دهانه (mm)</t>
        </is>
      </c>
      <c r="B10" s="13" t="n"/>
    </row>
    <row r="11">
      <c r="A11" s="12" t="inlineStr">
        <is>
          <t>P بار (N)</t>
        </is>
      </c>
      <c r="B11" s="13" t="n"/>
    </row>
    <row r="13">
      <c r="A13" s="12" t="inlineStr">
        <is>
          <t>مقاومت MPa</t>
        </is>
      </c>
      <c r="B13" s="17">
        <f>IFERROR(ROUND(B11*B10/(B8*B9^2),2),"—")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4-4_اولتراسونیک</t>
        </is>
      </c>
    </row>
    <row r="4">
      <c r="A4" s="3" t="inlineStr">
        <is>
          <t>ASTM C597</t>
        </is>
      </c>
    </row>
    <row r="8">
      <c r="A8" s="12" t="inlineStr">
        <is>
          <t>L طول (mm)</t>
        </is>
      </c>
      <c r="B8" s="13" t="n"/>
    </row>
    <row r="9">
      <c r="A9" s="12" t="inlineStr">
        <is>
          <t>T1 (µs)</t>
        </is>
      </c>
      <c r="B9" s="13" t="n"/>
    </row>
    <row r="10">
      <c r="A10" s="12" t="inlineStr">
        <is>
          <t>T2 (µs)</t>
        </is>
      </c>
      <c r="B10" s="13" t="n"/>
    </row>
    <row r="11">
      <c r="A11" s="12" t="inlineStr">
        <is>
          <t>T3 (µs)</t>
        </is>
      </c>
      <c r="B11" s="13" t="n"/>
    </row>
    <row r="13">
      <c r="A13" s="12" t="inlineStr">
        <is>
          <t>سرعت m/s</t>
        </is>
      </c>
      <c r="B13" s="17">
        <f>IFERROR(ROUND(B8/AVERAGE(B10:B12)*1000,1),"—")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4-5_چکش_اشمیت</t>
        </is>
      </c>
    </row>
    <row r="4">
      <c r="A4" s="3" t="inlineStr">
        <is>
          <t>ASTM C805</t>
        </is>
      </c>
    </row>
    <row r="8">
      <c r="A8" s="12" t="inlineStr">
        <is>
          <t>R1</t>
        </is>
      </c>
      <c r="B8" s="13" t="n"/>
    </row>
    <row r="9">
      <c r="A9" s="12" t="inlineStr">
        <is>
          <t>R2</t>
        </is>
      </c>
      <c r="B9" s="13" t="n"/>
    </row>
    <row r="10">
      <c r="A10" s="12" t="inlineStr">
        <is>
          <t>R3</t>
        </is>
      </c>
      <c r="B10" s="13" t="n"/>
    </row>
    <row r="11">
      <c r="A11" s="12" t="inlineStr">
        <is>
          <t>R4</t>
        </is>
      </c>
      <c r="B11" s="13" t="n"/>
    </row>
    <row r="12">
      <c r="A12" s="12" t="inlineStr">
        <is>
          <t>R5</t>
        </is>
      </c>
      <c r="B12" s="13" t="n"/>
    </row>
    <row r="13">
      <c r="A13" s="12" t="inlineStr">
        <is>
          <t>R6</t>
        </is>
      </c>
      <c r="B13" s="13" t="n"/>
    </row>
    <row r="14">
      <c r="A14" s="12" t="inlineStr">
        <is>
          <t>R7</t>
        </is>
      </c>
      <c r="B14" s="13" t="n"/>
    </row>
    <row r="15">
      <c r="A15" s="12" t="inlineStr">
        <is>
          <t>R8</t>
        </is>
      </c>
      <c r="B15" s="13" t="n"/>
    </row>
    <row r="16">
      <c r="A16" s="12" t="inlineStr">
        <is>
          <t>R9</t>
        </is>
      </c>
      <c r="B16" s="13" t="n"/>
    </row>
    <row r="17">
      <c r="A17" s="12" t="inlineStr">
        <is>
          <t>R10</t>
        </is>
      </c>
      <c r="B17" s="13" t="n"/>
    </row>
    <row r="18">
      <c r="A18" s="12" t="inlineStr">
        <is>
          <t>R11</t>
        </is>
      </c>
      <c r="B18" s="13" t="n"/>
    </row>
    <row r="19">
      <c r="A19" s="12" t="inlineStr">
        <is>
          <t>R12</t>
        </is>
      </c>
      <c r="B19" s="13" t="n"/>
    </row>
    <row r="20">
      <c r="A20" s="12" t="inlineStr">
        <is>
          <t>R13</t>
        </is>
      </c>
      <c r="B20" s="13" t="n"/>
    </row>
    <row r="21">
      <c r="A21" s="12" t="inlineStr">
        <is>
          <t>R14</t>
        </is>
      </c>
      <c r="B21" s="13" t="n"/>
    </row>
    <row r="22">
      <c r="A22" s="12" t="inlineStr">
        <is>
          <t>R15</t>
        </is>
      </c>
      <c r="B22" s="13" t="n"/>
    </row>
    <row r="23">
      <c r="A23" s="12" t="inlineStr">
        <is>
          <t>R16</t>
        </is>
      </c>
      <c r="B23" s="13" t="n"/>
    </row>
    <row r="25">
      <c r="A25" s="12" t="inlineStr">
        <is>
          <t>Rm میانگین</t>
        </is>
      </c>
      <c r="B25" s="17">
        <f>IFERROR(ROUND(AVERAGE(B8:B23),1),"—")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03_گزارش</t>
        </is>
      </c>
    </row>
    <row r="4">
      <c r="A4" s="3" t="inlineStr">
        <is>
          <t>خلاصه و چاپ نهایی</t>
        </is>
      </c>
    </row>
    <row r="6">
      <c r="A6" s="20" t="inlineStr">
        <is>
          <t>📄 گزارش نهایی آزمایشگاه</t>
        </is>
      </c>
    </row>
    <row r="10">
      <c r="A10" s="21" t="inlineStr">
        <is>
          <t>آزمایش</t>
        </is>
      </c>
      <c r="B10" s="21" t="inlineStr">
        <is>
          <t>نتیجه</t>
        </is>
      </c>
      <c r="C10" s="21" t="inlineStr">
        <is>
          <t>وضعیت</t>
        </is>
      </c>
    </row>
    <row r="11">
      <c r="A11" t="inlineStr">
        <is>
          <t>دانه‌بندی</t>
        </is>
      </c>
      <c r="B11" t="inlineStr">
        <is>
          <t>—</t>
        </is>
      </c>
      <c r="C11" t="inlineStr">
        <is>
          <t>—</t>
        </is>
      </c>
    </row>
    <row r="12">
      <c r="A12" t="inlineStr">
        <is>
          <t>رطوبت</t>
        </is>
      </c>
      <c r="B12" t="inlineStr">
        <is>
          <t>—</t>
        </is>
      </c>
      <c r="C12" t="inlineStr">
        <is>
          <t>—</t>
        </is>
      </c>
    </row>
    <row r="13">
      <c r="A13" t="inlineStr">
        <is>
          <t>وزن مخصوص</t>
        </is>
      </c>
      <c r="B13" t="inlineStr">
        <is>
          <t>—</t>
        </is>
      </c>
      <c r="C13" t="inlineStr">
        <is>
          <t>—</t>
        </is>
      </c>
    </row>
    <row r="14">
      <c r="A14" t="inlineStr">
        <is>
          <t>مقاومت فشاری</t>
        </is>
      </c>
      <c r="B14" t="inlineStr">
        <is>
          <t>—</t>
        </is>
      </c>
      <c r="C14" t="inlineStr">
        <is>
          <t>—</t>
        </is>
      </c>
    </row>
    <row r="18">
      <c r="A18" t="inlineStr">
        <is>
          <t>🔏 محل مهر و امضا</t>
        </is>
      </c>
    </row>
    <row r="20">
      <c r="A20" t="inlineStr">
        <is>
          <t>کد صحت:</t>
        </is>
      </c>
      <c r="B20">
        <f>TEXT(MOD(SUMPRODUCT(VALUE(B11:B14)*7),99999),"00000")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04_داشبورد</t>
        </is>
      </c>
    </row>
    <row r="4">
      <c r="A4" s="3" t="inlineStr">
        <is>
          <t>وضعیت کلی پروژه</t>
        </is>
      </c>
    </row>
    <row r="6">
      <c r="A6" s="20" t="inlineStr">
        <is>
          <t>📊 داشبورد وضعیت</t>
        </is>
      </c>
    </row>
    <row r="8">
      <c r="A8" s="4" t="inlineStr">
        <is>
          <t>خلاصه کلی:</t>
        </is>
      </c>
    </row>
    <row r="10">
      <c r="A10" t="inlineStr">
        <is>
          <t>تعداد کل آزمایش‌ها: 20</t>
        </is>
      </c>
    </row>
    <row r="11">
      <c r="A11" t="inlineStr">
        <is>
          <t>✅ فرمول‌های فعال: 100%</t>
        </is>
      </c>
    </row>
    <row r="12">
      <c r="A12" t="inlineStr">
        <is>
          <t>🛡️ محافظت شیت‌ها: فعال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05_QA_Test</t>
        </is>
      </c>
    </row>
    <row r="4">
      <c r="A4" s="3" t="inlineStr">
        <is>
          <t>تست واحد و اعتبارسنجی</t>
        </is>
      </c>
    </row>
    <row r="6">
      <c r="A6" s="4" t="inlineStr">
        <is>
          <t>🧪 تست‌های خودکار</t>
        </is>
      </c>
    </row>
    <row r="8">
      <c r="A8" t="inlineStr">
        <is>
          <t>تست ورودی صفر</t>
        </is>
      </c>
      <c r="B8" t="inlineStr">
        <is>
          <t>W2=0</t>
        </is>
      </c>
      <c r="C8" t="inlineStr">
        <is>
          <t>باید "—" نمایش دهد</t>
        </is>
      </c>
    </row>
    <row r="9">
      <c r="A9" t="inlineStr">
        <is>
          <t>تست ورودی منفی</t>
        </is>
      </c>
      <c r="B9" t="inlineStr">
        <is>
          <t>جرم منفی</t>
        </is>
      </c>
      <c r="C9" t="inlineStr">
        <is>
          <t>باید خطای DV دهد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sheetData>
    <row r="1">
      <c r="A1" s="1">
        <f>HYPERLINK("#'00_راهنما'!A1", "🏠 راهنما")</f>
        <v/>
      </c>
      <c r="B1" s="1">
        <f>HYPERLINK("#'03_گزارش'!A1", "📑 گزارش")</f>
        <v/>
      </c>
      <c r="C1" s="1">
        <f>HYPERLINK("#'04_داشبورد'!A1", "📊 داشبورد")</f>
        <v/>
      </c>
    </row>
    <row r="3">
      <c r="A3" s="2" t="inlineStr">
        <is>
          <t>📋 06_خطاها_هشدارها</t>
        </is>
      </c>
    </row>
    <row r="4">
      <c r="A4" s="3" t="inlineStr">
        <is>
          <t>تجمع زنده هشدارها</t>
        </is>
      </c>
    </row>
    <row r="6">
      <c r="A6" s="4" t="inlineStr">
        <is>
          <t>⚠️ تجمع زنده هشدارهای فعال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کد</t>
        </is>
      </c>
      <c r="B1" t="inlineStr">
        <is>
          <t>چاپ کتاب</t>
        </is>
      </c>
      <c r="C1" t="inlineStr">
        <is>
          <t>مرجع ابزار</t>
        </is>
      </c>
      <c r="D1" t="inlineStr">
        <is>
          <t>علت</t>
        </is>
      </c>
    </row>
    <row r="2">
      <c r="A2" t="inlineStr">
        <is>
          <t>1-2</t>
        </is>
      </c>
      <c r="B2" t="inlineStr">
        <is>
          <t>پایه تر</t>
        </is>
      </c>
      <c r="C2" t="inlineStr">
        <is>
          <t>پایه خشک</t>
        </is>
      </c>
      <c r="D2" t="inlineStr">
        <is>
          <t>ASTM C566</t>
        </is>
      </c>
    </row>
    <row r="3">
      <c r="A3" t="inlineStr">
        <is>
          <t>1-4ج</t>
        </is>
      </c>
      <c r="B3" t="inlineStr">
        <is>
          <t>OD=1.51</t>
        </is>
      </c>
      <c r="C3" t="inlineStr">
        <is>
          <t>≈2.6x</t>
        </is>
      </c>
      <c r="D3" t="inlineStr">
        <is>
          <t>جابه‌جایی A/S</t>
        </is>
      </c>
    </row>
    <row r="4">
      <c r="A4" t="inlineStr">
        <is>
          <t>2-4</t>
        </is>
      </c>
      <c r="B4" t="inlineStr">
        <is>
          <t>11.9</t>
        </is>
      </c>
      <c r="C4" t="inlineStr">
        <is>
          <t>≈20.5</t>
        </is>
      </c>
      <c r="D4" t="inlineStr">
        <is>
          <t>ضریب kgf</t>
        </is>
      </c>
    </row>
    <row r="5">
      <c r="A5" t="inlineStr">
        <is>
          <t>4-3</t>
        </is>
      </c>
      <c r="B5" t="inlineStr">
        <is>
          <t>33.466</t>
        </is>
      </c>
      <c r="C5" t="inlineStr">
        <is>
          <t>≈7.5</t>
        </is>
      </c>
      <c r="D5" t="inlineStr">
        <is>
          <t>فاکتور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2026-08-09T13:14:08Z</dcterms:created>
  <dcterms:modified xsi:type="dcterms:W3CDTF">2026-08-09T13:14:08Z</dcterms:modified>
</cp:coreProperties>
</file>