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راهنما" sheetId="1" state="visible" r:id="rId1"/>
    <sheet name="01_اطلاعات_آزمون" sheetId="2" state="visible" r:id="rId2"/>
    <sheet name="1-1_دانه‌بندی" sheetId="3" state="visible" r:id="rId3"/>
    <sheet name="1-2_رطوبت" sheetId="4" state="visible" r:id="rId4"/>
    <sheet name="1-3_وزن_مخصوص" sheetId="5" state="visible" r:id="rId5"/>
    <sheet name="1-4_جذب_آب" sheetId="6" state="visible" r:id="rId6"/>
    <sheet name="1-5_چگالی_انباشته" sheetId="7" state="visible" r:id="rId7"/>
    <sheet name="1-6_معادل_ماسه" sheetId="8" state="visible" r:id="rId8"/>
    <sheet name="1-7_شکل_دانه" sheetId="9" state="visible" r:id="rId9"/>
    <sheet name="1-8_مواد_نرم" sheetId="10" state="visible" r:id="rId10"/>
    <sheet name="2-1_وزن_واحد" sheetId="11" state="visible" r:id="rId11"/>
    <sheet name="2-2_ویکات" sheetId="12" state="visible" r:id="rId12"/>
    <sheet name="2-3_گیرش" sheetId="13" state="visible" r:id="rId13"/>
    <sheet name="2-4_مقاومت_ملات" sheetId="14" state="visible" r:id="rId14"/>
    <sheet name="3-1_اسلامپ" sheetId="15" state="visible" r:id="rId15"/>
    <sheet name="3-2_تراکم" sheetId="16" state="visible" r:id="rId16"/>
    <sheet name="3-3_وزن_مخصوص_بتن" sheetId="17" state="visible" r:id="rId17"/>
    <sheet name="4-1_فشاری" sheetId="18" state="visible" r:id="rId18"/>
    <sheet name="4-2_کشش_قطری" sheetId="19" state="visible" r:id="rId19"/>
    <sheet name="4-3_خمشی" sheetId="20" state="visible" r:id="rId20"/>
    <sheet name="4-4_اولتراسونیک" sheetId="21" state="visible" r:id="rId21"/>
    <sheet name="4-5_چکش_اشمیت" sheetId="22" state="visible" r:id="rId22"/>
    <sheet name="03_گزارش" sheetId="23" state="visible" r:id="rId23"/>
    <sheet name="04_داشبورد" sheetId="24" state="visible" r:id="rId24"/>
    <sheet name="05_QA_Test" sheetId="25" state="visible" r:id="rId25"/>
    <sheet name="06_خطاها_هشدارها" sheetId="26" state="visible" r:id="rId26"/>
    <sheet name="_Reference_DB" sheetId="27" state="hidden" r:id="rId27"/>
    <sheet name="_Standards" sheetId="28" state="hidden" r:id="rId28"/>
    <sheet name="_Validation_Data" sheetId="29" state="hidden" r:id="rId29"/>
    <sheet name="_Glossary" sheetId="30" state="hidden" r:id="rId30"/>
    <sheet name="_Materials_DB" sheetId="31" state="hidden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ahoma"/>
      <b val="1"/>
      <color rgb="001F4E79"/>
      <sz val="11"/>
    </font>
    <font>
      <name val="Tahoma"/>
      <b val="1"/>
      <color rgb="001F4E79"/>
      <sz val="14"/>
    </font>
    <font>
      <name val="Tahoma"/>
      <i val="1"/>
      <sz val="10"/>
    </font>
    <font>
      <name val="Tahoma"/>
      <b val="1"/>
      <sz val="11"/>
    </font>
    <font>
      <name val="Tahoma"/>
      <sz val="11"/>
    </font>
    <font>
      <name val="Tahoma"/>
      <b val="1"/>
      <color rgb="00FFFFFF"/>
      <sz val="11"/>
    </font>
    <font>
      <name val="Calibri"/>
      <sz val="11"/>
    </font>
    <font>
      <name val="Calibri"/>
      <b val="1"/>
      <sz val="11"/>
    </font>
    <font>
      <name val="Tahoma"/>
      <i val="1"/>
      <color rgb="00C00000"/>
      <sz val="9"/>
    </font>
    <font>
      <name val="Tahoma"/>
      <color rgb="00006100"/>
      <sz val="11"/>
    </font>
    <font>
      <name val="Tahoma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2"/>
    </font>
    <font>
      <name val="Tahoma"/>
      <i val="1"/>
      <sz val="9"/>
    </font>
    <font>
      <name val="Tahoma"/>
      <b val="1"/>
      <color rgb="009C0006"/>
      <sz val="11"/>
    </font>
  </fonts>
  <fills count="8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FFC7CE"/>
        <bgColor rgb="00FFC7CE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2" borderId="1" pivotButton="0" quotePrefix="0" xfId="0"/>
    <xf numFmtId="0" fontId="6" fillId="7" borderId="0" applyAlignment="1" pivotButton="0" quotePrefix="0" xfId="0">
      <alignment horizontal="center" vertical="center" indent="1"/>
    </xf>
    <xf numFmtId="0" fontId="7" fillId="3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7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5" borderId="0" pivotButton="0" quotePrefix="0" xfId="0"/>
    <xf numFmtId="0" fontId="14" fillId="0" borderId="0" pivotButton="0" quotePrefix="0" xfId="0"/>
    <xf numFmtId="0" fontId="15" fillId="6" borderId="0" pivotButton="0" quotePrefix="0" xfId="0"/>
    <xf numFmtId="0" fontId="1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00_راهنما</t>
        </is>
      </c>
    </row>
    <row r="4">
      <c r="A4" s="3" t="inlineStr">
        <is>
          <t>راهنما، Legend، ناوبری، Changelog</t>
        </is>
      </c>
    </row>
    <row r="6">
      <c r="A6" s="4" t="inlineStr">
        <is>
          <t>🎨 راهنمای رنگ‌ها (Legend)</t>
        </is>
      </c>
    </row>
    <row r="8">
      <c r="A8" s="4" t="inlineStr">
        <is>
          <t>ورودی کاربر</t>
        </is>
      </c>
      <c r="B8" s="5" t="inlineStr">
        <is>
          <t>████</t>
        </is>
      </c>
      <c r="C8" s="6" t="inlineStr">
        <is>
          <t>سلول زرد - داده خام را اینجا وارد کنید</t>
        </is>
      </c>
    </row>
    <row r="9">
      <c r="A9" s="4" t="inlineStr">
        <is>
          <t>محاسبه خودکار</t>
        </is>
      </c>
      <c r="B9" s="7" t="inlineStr">
        <is>
          <t>████</t>
        </is>
      </c>
      <c r="C9" s="6" t="inlineStr">
        <is>
          <t>سلول خاکستری - فرمول محاسبه می‌کند (دست نزنید)</t>
        </is>
      </c>
    </row>
    <row r="10">
      <c r="A10" s="4" t="inlineStr">
        <is>
          <t>قبول شده</t>
        </is>
      </c>
      <c r="B10" s="8" t="inlineStr">
        <is>
          <t>████</t>
        </is>
      </c>
      <c r="C10" s="6" t="inlineStr">
        <is>
          <t>سبز - نتیجه مطابق استاندارد است</t>
        </is>
      </c>
    </row>
    <row r="11">
      <c r="A11" s="4" t="inlineStr">
        <is>
          <t>هشدار</t>
        </is>
      </c>
      <c r="B11" s="9" t="inlineStr">
        <is>
          <t>████</t>
        </is>
      </c>
      <c r="C11" s="6" t="inlineStr">
        <is>
          <t>نارنجی - نیاز به بررسی دارد</t>
        </is>
      </c>
    </row>
    <row r="12">
      <c r="A12" s="4" t="inlineStr">
        <is>
          <t>رد شده</t>
        </is>
      </c>
      <c r="B12" s="10" t="inlineStr">
        <is>
          <t>████</t>
        </is>
      </c>
      <c r="C12" s="6" t="inlineStr">
        <is>
          <t>قرمز - نتیجه غیرقابل قبول</t>
        </is>
      </c>
    </row>
    <row r="15">
      <c r="A15" s="4" t="inlineStr">
        <is>
          <t>📜 قانون طلایی</t>
        </is>
      </c>
    </row>
    <row r="16">
      <c r="A16" s="6" t="inlineStr">
        <is>
          <t>اول دستی حساب کن، بعد اینجا راستی‌آزمایی کن</t>
        </is>
      </c>
    </row>
    <row r="18">
      <c r="A18" s="4" t="inlineStr">
        <is>
          <t>📌 اطلاعات نسخه</t>
        </is>
      </c>
    </row>
    <row r="19">
      <c r="A19" s="6" t="inlineStr">
        <is>
          <t>نسخه: v1.0.0</t>
        </is>
      </c>
    </row>
    <row r="20">
      <c r="A20" s="6" t="inlineStr">
        <is>
          <t>تاریخ انتشار: 2026-08-09</t>
        </is>
      </c>
    </row>
    <row r="21">
      <c r="A21" s="6" t="inlineStr">
        <is>
          <t>مخزن: github.com/bmhmdyan279-png/Concrete-Lab-Companion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01_اطلاعات_آزمون</t>
        </is>
      </c>
    </row>
    <row r="4">
      <c r="A4" s="3" t="inlineStr">
        <is>
          <t>پروژه، شماره نمونه، تاریخ، اپراتور</t>
        </is>
      </c>
    </row>
    <row r="6">
      <c r="A6" s="4" t="inlineStr">
        <is>
          <t>شناسنامه آزمون</t>
        </is>
      </c>
    </row>
    <row r="8">
      <c r="A8" s="4" t="inlineStr">
        <is>
          <t>نام پروژه:</t>
        </is>
      </c>
      <c r="B8" s="11" t="n"/>
    </row>
    <row r="9">
      <c r="A9" s="4" t="inlineStr">
        <is>
          <t>شماره نمونه:</t>
        </is>
      </c>
      <c r="B9" s="11" t="n"/>
    </row>
    <row r="10">
      <c r="A10" s="4" t="inlineStr">
        <is>
          <t>تاریخ آزمون:</t>
        </is>
      </c>
      <c r="B10" s="11" t="n"/>
    </row>
    <row r="11">
      <c r="A11" s="4" t="inlineStr">
        <is>
          <t>نام اپراتور:</t>
        </is>
      </c>
      <c r="B11" s="11" t="n"/>
    </row>
    <row r="12">
      <c r="A12" s="4" t="inlineStr">
        <is>
          <t>دستگاه مورد استفاده:</t>
        </is>
      </c>
      <c r="B12" s="11" t="n"/>
    </row>
    <row r="13">
      <c r="A13" s="4" t="inlineStr">
        <is>
          <t>دمای محیط (°C):</t>
        </is>
      </c>
      <c r="B13" s="11" t="n"/>
    </row>
    <row r="14">
      <c r="A14" s="4" t="inlineStr">
        <is>
          <t>رطوبت نسبی (%):</t>
        </is>
      </c>
      <c r="B14" s="11" t="n"/>
    </row>
    <row r="15">
      <c r="A15" s="4" t="inlineStr">
        <is>
          <t>استاندارد مرجع:</t>
        </is>
      </c>
      <c r="B15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1-1_دانه‌بندی</t>
        </is>
      </c>
    </row>
    <row r="4">
      <c r="A4" s="3" t="inlineStr">
        <is>
          <t>آزمایش دانه‌بندی ASTM C136</t>
        </is>
      </c>
    </row>
    <row r="6">
      <c r="A6" s="4" t="inlineStr">
        <is>
          <t>آزمایش دانه‌بندی (ASTM C136 / ISIRI 4977)</t>
        </is>
      </c>
    </row>
    <row r="8">
      <c r="A8" t="inlineStr">
        <is>
          <t>جرم خشک اولیه (g):</t>
        </is>
      </c>
      <c r="B8" s="11" t="n"/>
    </row>
    <row r="10">
      <c r="A10" s="12" t="inlineStr">
        <is>
          <t>الک</t>
        </is>
      </c>
      <c r="B10" s="12" t="inlineStr">
        <is>
          <t>جرم مانده (g)</t>
        </is>
      </c>
      <c r="C10" s="12" t="inlineStr">
        <is>
          <t>% مانده</t>
        </is>
      </c>
      <c r="D10" s="12" t="inlineStr">
        <is>
          <t>% تجمعی مانده</t>
        </is>
      </c>
      <c r="E10" s="12" t="inlineStr">
        <is>
          <t>% عبوری</t>
        </is>
      </c>
      <c r="F10" s="12" t="inlineStr">
        <is>
          <t>الک استاندارد</t>
        </is>
      </c>
    </row>
    <row r="11">
      <c r="A11" s="6" t="inlineStr">
        <is>
          <t>75mm</t>
        </is>
      </c>
      <c r="B11" s="11" t="n"/>
      <c r="C11" s="13">
        <f>IF(B8=0,"—",ROUND(B11/B8*100,1))</f>
        <v/>
      </c>
      <c r="D11" s="13">
        <f>C11</f>
        <v/>
      </c>
      <c r="E11" s="13">
        <f>ROUND(100-D11,1)</f>
        <v/>
      </c>
      <c r="F11" s="6" t="inlineStr">
        <is>
          <t>FALSE</t>
        </is>
      </c>
    </row>
    <row r="12">
      <c r="A12" s="6" t="inlineStr">
        <is>
          <t>50mm</t>
        </is>
      </c>
      <c r="B12" s="11" t="n"/>
      <c r="C12" s="13">
        <f>IF(B8=0,"—",ROUND(B12/B8*100,1))</f>
        <v/>
      </c>
      <c r="D12" s="13">
        <f>D11+C12</f>
        <v/>
      </c>
      <c r="E12" s="13">
        <f>ROUND(100-D12,1)</f>
        <v/>
      </c>
      <c r="F12" s="6" t="inlineStr">
        <is>
          <t>FALSE</t>
        </is>
      </c>
    </row>
    <row r="13">
      <c r="A13" s="6" t="inlineStr">
        <is>
          <t>37.5mm</t>
        </is>
      </c>
      <c r="B13" s="11" t="n"/>
      <c r="C13" s="13">
        <f>IF(B8=0,"—",ROUND(B13/B8*100,1))</f>
        <v/>
      </c>
      <c r="D13" s="13">
        <f>D12+C13</f>
        <v/>
      </c>
      <c r="E13" s="13">
        <f>ROUND(100-D13,1)</f>
        <v/>
      </c>
      <c r="F13" s="6" t="inlineStr">
        <is>
          <t>FALSE</t>
        </is>
      </c>
    </row>
    <row r="14">
      <c r="A14" s="6" t="inlineStr">
        <is>
          <t>25mm</t>
        </is>
      </c>
      <c r="B14" s="11" t="n"/>
      <c r="C14" s="13">
        <f>IF(B8=0,"—",ROUND(B14/B8*100,1))</f>
        <v/>
      </c>
      <c r="D14" s="13">
        <f>D13+C14</f>
        <v/>
      </c>
      <c r="E14" s="13">
        <f>ROUND(100-D14,1)</f>
        <v/>
      </c>
      <c r="F14" s="6" t="inlineStr">
        <is>
          <t>FALSE</t>
        </is>
      </c>
    </row>
    <row r="15">
      <c r="A15" s="6" t="inlineStr">
        <is>
          <t>19mm</t>
        </is>
      </c>
      <c r="B15" s="11" t="n"/>
      <c r="C15" s="13">
        <f>IF(B8=0,"—",ROUND(B15/B8*100,1))</f>
        <v/>
      </c>
      <c r="D15" s="13">
        <f>D14+C15</f>
        <v/>
      </c>
      <c r="E15" s="13">
        <f>ROUND(100-D15,1)</f>
        <v/>
      </c>
      <c r="F15" s="6" t="inlineStr">
        <is>
          <t>FALSE</t>
        </is>
      </c>
    </row>
    <row r="16">
      <c r="A16" s="6" t="inlineStr">
        <is>
          <t>12.5mm</t>
        </is>
      </c>
      <c r="B16" s="11" t="n"/>
      <c r="C16" s="13">
        <f>IF(B8=0,"—",ROUND(B16/B8*100,1))</f>
        <v/>
      </c>
      <c r="D16" s="13">
        <f>D15+C16</f>
        <v/>
      </c>
      <c r="E16" s="13">
        <f>ROUND(100-D16,1)</f>
        <v/>
      </c>
      <c r="F16" s="6" t="inlineStr">
        <is>
          <t>FALSE</t>
        </is>
      </c>
    </row>
    <row r="17">
      <c r="A17" s="6" t="inlineStr">
        <is>
          <t>9.5mm</t>
        </is>
      </c>
      <c r="B17" s="11" t="n"/>
      <c r="C17" s="13">
        <f>IF(B8=0,"—",ROUND(B17/B8*100,1))</f>
        <v/>
      </c>
      <c r="D17" s="13">
        <f>D16+C17</f>
        <v/>
      </c>
      <c r="E17" s="13">
        <f>ROUND(100-D17,1)</f>
        <v/>
      </c>
      <c r="F17" s="6" t="inlineStr">
        <is>
          <t>FALSE</t>
        </is>
      </c>
    </row>
    <row r="18">
      <c r="A18" s="6" t="inlineStr">
        <is>
          <t>4.75mm (#4)</t>
        </is>
      </c>
      <c r="B18" s="11" t="n"/>
      <c r="C18" s="13">
        <f>IF(B8=0,"—",ROUND(B18/B8*100,1))</f>
        <v/>
      </c>
      <c r="D18" s="13">
        <f>D17+C18</f>
        <v/>
      </c>
      <c r="E18" s="13">
        <f>ROUND(100-D18,1)</f>
        <v/>
      </c>
      <c r="F18" s="6" t="inlineStr">
        <is>
          <t>TRUE</t>
        </is>
      </c>
    </row>
    <row r="19">
      <c r="A19" s="6" t="inlineStr">
        <is>
          <t>2.36mm (#8)</t>
        </is>
      </c>
      <c r="B19" s="11" t="n"/>
      <c r="C19" s="13">
        <f>IF(B8=0,"—",ROUND(B19/B8*100,1))</f>
        <v/>
      </c>
      <c r="D19" s="13">
        <f>D18+C19</f>
        <v/>
      </c>
      <c r="E19" s="13">
        <f>ROUND(100-D19,1)</f>
        <v/>
      </c>
      <c r="F19" s="6" t="inlineStr">
        <is>
          <t>TRUE</t>
        </is>
      </c>
    </row>
    <row r="20">
      <c r="A20" s="6" t="inlineStr">
        <is>
          <t>1.18mm (#16)</t>
        </is>
      </c>
      <c r="B20" s="11" t="n"/>
      <c r="C20" s="13">
        <f>IF(B8=0,"—",ROUND(B20/B8*100,1))</f>
        <v/>
      </c>
      <c r="D20" s="13">
        <f>D19+C20</f>
        <v/>
      </c>
      <c r="E20" s="13">
        <f>ROUND(100-D20,1)</f>
        <v/>
      </c>
      <c r="F20" s="6" t="inlineStr">
        <is>
          <t>TRUE</t>
        </is>
      </c>
    </row>
    <row r="21">
      <c r="A21" s="6" t="inlineStr">
        <is>
          <t>600µm (#30)</t>
        </is>
      </c>
      <c r="B21" s="11" t="n"/>
      <c r="C21" s="13">
        <f>IF(B8=0,"—",ROUND(B21/B8*100,1))</f>
        <v/>
      </c>
      <c r="D21" s="13">
        <f>D20+C21</f>
        <v/>
      </c>
      <c r="E21" s="13">
        <f>ROUND(100-D21,1)</f>
        <v/>
      </c>
      <c r="F21" s="6" t="inlineStr">
        <is>
          <t>TRUE</t>
        </is>
      </c>
    </row>
    <row r="22">
      <c r="A22" s="6" t="inlineStr">
        <is>
          <t>300µm (#50)</t>
        </is>
      </c>
      <c r="B22" s="11" t="n"/>
      <c r="C22" s="13">
        <f>IF(B8=0,"—",ROUND(B22/B8*100,1))</f>
        <v/>
      </c>
      <c r="D22" s="13">
        <f>D21+C22</f>
        <v/>
      </c>
      <c r="E22" s="13">
        <f>ROUND(100-D22,1)</f>
        <v/>
      </c>
      <c r="F22" s="6" t="inlineStr">
        <is>
          <t>TRUE</t>
        </is>
      </c>
    </row>
    <row r="23">
      <c r="A23" s="6" t="inlineStr">
        <is>
          <t>150µm (#100)</t>
        </is>
      </c>
      <c r="B23" s="11" t="n"/>
      <c r="C23" s="13">
        <f>IF(B8=0,"—",ROUND(B23/B8*100,1))</f>
        <v/>
      </c>
      <c r="D23" s="13">
        <f>D22+C23</f>
        <v/>
      </c>
      <c r="E23" s="13">
        <f>ROUND(100-D23,1)</f>
        <v/>
      </c>
      <c r="F23" s="6" t="inlineStr">
        <is>
          <t>TRUE</t>
        </is>
      </c>
    </row>
    <row r="25">
      <c r="A25" t="inlineStr">
        <is>
          <t>مجموع مانده‌ها:</t>
        </is>
      </c>
      <c r="B25" s="7">
        <f>SUM(B11:B23)</f>
        <v/>
      </c>
    </row>
    <row r="26">
      <c r="A26" t="inlineStr">
        <is>
          <t>خطای جرم (%):</t>
        </is>
      </c>
      <c r="B26" s="7">
        <f>IF(B8=0,"—",ROUND(ABS(B8-B25)/B8*100,2))</f>
        <v/>
      </c>
    </row>
    <row r="27">
      <c r="A27" t="inlineStr">
        <is>
          <t>مدول نرمی (FM):</t>
        </is>
      </c>
      <c r="B27" s="14">
        <f>SUMPRODUCT((F11:F23=TRUE)*D11:D23)/100</f>
        <v/>
      </c>
    </row>
  </sheetData>
  <dataValidations count="1">
    <dataValidation sqref="B11 B12 B13 B14 B15 B16 B17 B18 B19 B20 B21 B22 B23" showDropDown="0" showInputMessage="0" showErrorMessage="0" allowBlank="0" errorTitle="خطای ورودی" error="جرم نمی‌تواند منفی باشد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1-2_رطوبت</t>
        </is>
      </c>
    </row>
    <row r="4">
      <c r="A4" s="3" t="inlineStr">
        <is>
          <t>درصد رطوبت سنگدانه ASTM C566</t>
        </is>
      </c>
    </row>
    <row r="6">
      <c r="A6" s="4" t="inlineStr">
        <is>
          <t>درصد رطوبت سنگدانه (ASTM C566 - پایه خشک)</t>
        </is>
      </c>
    </row>
    <row r="8">
      <c r="A8" t="inlineStr">
        <is>
          <t>W1 - وزن تر (g):</t>
        </is>
      </c>
      <c r="B8" s="11" t="n"/>
    </row>
    <row r="9">
      <c r="A9" t="inlineStr">
        <is>
          <t>W2 - وزن خشک (g):</t>
        </is>
      </c>
      <c r="B9" s="11" t="n"/>
    </row>
    <row r="11">
      <c r="A11" t="inlineStr">
        <is>
          <t>درصد رطوبت (%):</t>
        </is>
      </c>
      <c r="B11" s="14">
        <f>IF(B9=0,"—",ROUND((B8-B9)/B9*100,2))</f>
        <v/>
      </c>
    </row>
    <row r="13">
      <c r="A13" s="15" t="inlineStr">
        <is>
          <t>⚠️ توجه: طبق ASTM C566، درصد رطوبت بر پایه وزن خشک محاسبه می‌شود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1-3_وزن_مخصوص</t>
        </is>
      </c>
    </row>
    <row r="4">
      <c r="A4" s="3" t="inlineStr">
        <is>
          <t>OD, SSD, App وزن مخصوص</t>
        </is>
      </c>
    </row>
    <row r="6">
      <c r="A6" s="4" t="inlineStr">
        <is>
          <t>وزن مخصوص سنگدانه (ASTM C127/C128)</t>
        </is>
      </c>
    </row>
    <row r="8">
      <c r="A8" t="inlineStr">
        <is>
          <t>A - وزن خشک کوره‌ای (g):</t>
        </is>
      </c>
      <c r="B8" s="11" t="n"/>
    </row>
    <row r="9">
      <c r="A9" t="inlineStr">
        <is>
          <t>B - وزن SSD در هوا (g):</t>
        </is>
      </c>
      <c r="B9" s="11" t="n"/>
    </row>
    <row r="10">
      <c r="A10" t="inlineStr">
        <is>
          <t>C - وزن در آب (g):</t>
        </is>
      </c>
      <c r="B10" s="11" t="n"/>
    </row>
    <row r="12">
      <c r="A12" t="inlineStr">
        <is>
          <t>OD (وزن مخصوص خشک):</t>
        </is>
      </c>
      <c r="B12" s="7">
        <f>IF((B9-B10)=0,"—",ROUND(B8/(B9-B10),2))</f>
        <v/>
      </c>
    </row>
    <row r="13">
      <c r="A13" t="inlineStr">
        <is>
          <t>SSD (وزن مخصوص اشباع):</t>
        </is>
      </c>
      <c r="B13" s="7">
        <f>IF((B9-B10)=0,"—",ROUND(B9/(B9-B10),2))</f>
        <v/>
      </c>
    </row>
    <row r="14">
      <c r="A14" t="inlineStr">
        <is>
          <t>App (وزن مخصوص ظاهری):</t>
        </is>
      </c>
      <c r="B14" s="7">
        <f>IF((B8-B10)=0,"—",ROUND(B8/(B8-B10),2))</f>
        <v/>
      </c>
    </row>
    <row r="15">
      <c r="A15" t="inlineStr">
        <is>
          <t>جذب آب (%):</t>
        </is>
      </c>
      <c r="B15" s="7">
        <f>IF(B8=0,"—",ROUND((B9-B8)/B8*100,2))</f>
        <v/>
      </c>
    </row>
    <row r="17">
      <c r="A17" t="inlineStr">
        <is>
          <t>✅ کنترل فیزیکی:</t>
        </is>
      </c>
      <c r="B17" s="16">
        <f>IF(AND(B13&gt;=B12,B14&gt;=B13),"✅ معتبر","❌ خطای فیزیکی: SSD باید ≥ OD باشد")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1-4_جذب_آب</t>
        </is>
      </c>
    </row>
    <row r="4">
      <c r="A4" s="3" t="inlineStr">
        <is>
          <t>جذب آب سنگدانه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1-5_چگالی_انباشته</t>
        </is>
      </c>
    </row>
    <row r="4">
      <c r="A4" s="3" t="inlineStr">
        <is>
          <t>چگالی انباشته و درصد خالی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1-6_معادل_ماسه</t>
        </is>
      </c>
    </row>
    <row r="4">
      <c r="A4" s="3" t="inlineStr">
        <is>
          <t>معادل ماسه SE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1-7_شکل_دانه</t>
        </is>
      </c>
    </row>
    <row r="4">
      <c r="A4" s="3" t="inlineStr">
        <is>
          <t>شاخص‌های شکل دانه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1-8_مواد_نرم</t>
        </is>
      </c>
    </row>
    <row r="4">
      <c r="A4" s="3" t="inlineStr">
        <is>
          <t>مواد نرم‌تر از ۷۵ میکرون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2-1_وزن_واحد</t>
        </is>
      </c>
    </row>
    <row r="4">
      <c r="A4" s="3" t="inlineStr">
        <is>
          <t>وزن واحد حجم سیمان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2-2_ویکات</t>
        </is>
      </c>
    </row>
    <row r="4">
      <c r="A4" s="3" t="inlineStr">
        <is>
          <t>آزمون ویکات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2-3_گیرش</t>
        </is>
      </c>
    </row>
    <row r="4">
      <c r="A4" s="3" t="inlineStr">
        <is>
          <t>زمان گیرش اولیه و نهایی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2-4_مقاومت_ملات</t>
        </is>
      </c>
    </row>
    <row r="4">
      <c r="A4" s="3" t="inlineStr">
        <is>
          <t>مقاومت خمشی و فشاری ملات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3-1_اسلامپ</t>
        </is>
      </c>
    </row>
    <row r="4">
      <c r="A4" s="3" t="inlineStr">
        <is>
          <t>آزمایش اسلامپ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3-2_تراکم</t>
        </is>
      </c>
    </row>
    <row r="4">
      <c r="A4" s="3" t="inlineStr">
        <is>
          <t>درصد تراکم بتن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3-3_وزن_مخصوص_بتن</t>
        </is>
      </c>
    </row>
    <row r="4">
      <c r="A4" s="3" t="inlineStr">
        <is>
          <t>وزن مخصوص بتن تازه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4-1_فشاری</t>
        </is>
      </c>
    </row>
    <row r="4">
      <c r="A4" s="3" t="inlineStr">
        <is>
          <t>مقاومت فشاری بتن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4-2_کشش_قطری</t>
        </is>
      </c>
    </row>
    <row r="4">
      <c r="A4" s="3" t="inlineStr">
        <is>
          <t>مقاومت کشش قطری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4-3_خمشی</t>
        </is>
      </c>
    </row>
    <row r="4">
      <c r="A4" s="3" t="inlineStr">
        <is>
          <t>مقاومت خمشی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4-4_اولتراسونیک</t>
        </is>
      </c>
    </row>
    <row r="4">
      <c r="A4" s="3" t="inlineStr">
        <is>
          <t>سرعت پالس اولتراسونیک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4-5_چکش_اشمیت</t>
        </is>
      </c>
    </row>
    <row r="4">
      <c r="A4" s="3" t="inlineStr">
        <is>
          <t>عدد بازتابی چکش اشمیت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03_گزارش</t>
        </is>
      </c>
    </row>
    <row r="4">
      <c r="A4" s="3" t="inlineStr">
        <is>
          <t>صفحه خلاصه و گزارش نهایی</t>
        </is>
      </c>
    </row>
    <row r="6">
      <c r="A6" s="17" t="inlineStr">
        <is>
          <t>📄 گزارش نهایی آزمایشگاه</t>
        </is>
      </c>
    </row>
    <row r="8">
      <c r="A8" s="4" t="inlineStr">
        <is>
          <t>خلاصه نتایج:</t>
        </is>
      </c>
    </row>
    <row r="10">
      <c r="A10" s="18" t="inlineStr">
        <is>
          <t>آزمایش</t>
        </is>
      </c>
      <c r="B10" s="18" t="inlineStr">
        <is>
          <t>نتیجه</t>
        </is>
      </c>
      <c r="C10" s="18" t="inlineStr">
        <is>
          <t>وضعیت</t>
        </is>
      </c>
      <c r="D10" s="18" t="inlineStr">
        <is>
          <t>توضیحات</t>
        </is>
      </c>
    </row>
    <row r="11">
      <c r="A11" t="inlineStr">
        <is>
          <t>دانه‌بندی</t>
        </is>
      </c>
      <c r="B11" t="inlineStr">
        <is>
          <t>—</t>
        </is>
      </c>
      <c r="C11" t="inlineStr">
        <is>
          <t>—</t>
        </is>
      </c>
      <c r="D11" t="inlineStr">
        <is>
          <t>انجام نشده</t>
        </is>
      </c>
    </row>
    <row r="12">
      <c r="A12" t="inlineStr">
        <is>
          <t>رطوبت</t>
        </is>
      </c>
      <c r="B12" t="inlineStr">
        <is>
          <t>—</t>
        </is>
      </c>
      <c r="C12" t="inlineStr">
        <is>
          <t>—</t>
        </is>
      </c>
      <c r="D12" t="inlineStr">
        <is>
          <t>انجام نشده</t>
        </is>
      </c>
    </row>
    <row r="13">
      <c r="A13" t="inlineStr">
        <is>
          <t>وزن مخصوص</t>
        </is>
      </c>
      <c r="B13" t="inlineStr">
        <is>
          <t>—</t>
        </is>
      </c>
      <c r="C13" t="inlineStr">
        <is>
          <t>—</t>
        </is>
      </c>
      <c r="D13" t="inlineStr">
        <is>
          <t>انجام نشده</t>
        </is>
      </c>
    </row>
    <row r="14">
      <c r="A14" t="inlineStr">
        <is>
          <t>جذب آب</t>
        </is>
      </c>
      <c r="B14" t="inlineStr">
        <is>
          <t>—</t>
        </is>
      </c>
      <c r="C14" t="inlineStr">
        <is>
          <t>—</t>
        </is>
      </c>
      <c r="D14" t="inlineStr">
        <is>
          <t>انجام نشده</t>
        </is>
      </c>
    </row>
    <row r="15">
      <c r="A15" t="inlineStr">
        <is>
          <t>چگالی انباشته</t>
        </is>
      </c>
      <c r="B15" t="inlineStr">
        <is>
          <t>—</t>
        </is>
      </c>
      <c r="C15" t="inlineStr">
        <is>
          <t>—</t>
        </is>
      </c>
      <c r="D15" t="inlineStr">
        <is>
          <t>انجام نشده</t>
        </is>
      </c>
    </row>
    <row r="16">
      <c r="A16" t="inlineStr">
        <is>
          <t>معادل ماسه</t>
        </is>
      </c>
      <c r="B16" t="inlineStr">
        <is>
          <t>—</t>
        </is>
      </c>
      <c r="C16" t="inlineStr">
        <is>
          <t>—</t>
        </is>
      </c>
      <c r="D16" t="inlineStr">
        <is>
          <t>انجام نشده</t>
        </is>
      </c>
    </row>
    <row r="17">
      <c r="A17" t="inlineStr">
        <is>
          <t>اسلامپ</t>
        </is>
      </c>
      <c r="B17" t="inlineStr">
        <is>
          <t>—</t>
        </is>
      </c>
      <c r="C17" t="inlineStr">
        <is>
          <t>—</t>
        </is>
      </c>
      <c r="D17" t="inlineStr">
        <is>
          <t>انجام نشده</t>
        </is>
      </c>
    </row>
    <row r="18">
      <c r="A18" t="inlineStr">
        <is>
          <t>مقاومت فشاری</t>
        </is>
      </c>
      <c r="B18" t="inlineStr">
        <is>
          <t>—</t>
        </is>
      </c>
      <c r="C18" t="inlineStr">
        <is>
          <t>—</t>
        </is>
      </c>
      <c r="D18" t="inlineStr">
        <is>
          <t>انجام نشده</t>
        </is>
      </c>
    </row>
    <row r="21">
      <c r="A21" s="4" t="inlineStr">
        <is>
          <t>🔏 محل مهر و امضا</t>
        </is>
      </c>
    </row>
    <row r="23">
      <c r="A23" t="inlineStr">
        <is>
          <t>کد صحت گزارش:</t>
        </is>
      </c>
      <c r="B23" s="19">
        <f>TEXT(MOD(SUMPRODUCT(VALUE(B8:B10)*7),99999),"00000")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04_داشبورد</t>
        </is>
      </c>
    </row>
    <row r="4">
      <c r="A4" s="3" t="inlineStr">
        <is>
          <t>داشبورد وضعیت آزمایش‌ها</t>
        </is>
      </c>
    </row>
    <row r="6">
      <c r="A6" s="17" t="inlineStr">
        <is>
          <t>📊 داشبورد وضعیت آزمایش‌ها</t>
        </is>
      </c>
    </row>
    <row r="8">
      <c r="A8" s="4" t="inlineStr">
        <is>
          <t>خلاصه کلی:</t>
        </is>
      </c>
    </row>
    <row r="10">
      <c r="A10" s="6" t="inlineStr">
        <is>
          <t>تعداد کل آزمایش‌ها:</t>
        </is>
      </c>
      <c r="B10" s="20" t="inlineStr">
        <is>
          <t>20</t>
        </is>
      </c>
    </row>
    <row r="11">
      <c r="A11" s="6" t="inlineStr">
        <is>
          <t>✅ قبول شده:</t>
        </is>
      </c>
      <c r="B11" s="20">
        <f>COUNTIF('04_داشبورد'!C11:C30,"✅")</f>
        <v/>
      </c>
    </row>
    <row r="12">
      <c r="A12" s="6" t="inlineStr">
        <is>
          <t>⚠️ هشدار:</t>
        </is>
      </c>
      <c r="B12" s="20">
        <f>COUNTIF('04_داشبورد'!C11:C30,"⚠️")</f>
        <v/>
      </c>
    </row>
    <row r="13">
      <c r="A13" s="6" t="inlineStr">
        <is>
          <t>❌ رد شده:</t>
        </is>
      </c>
      <c r="B13" s="20">
        <f>COUNTIF('04_داشبورد'!C11:C30,"❌")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05_QA_Test</t>
        </is>
      </c>
    </row>
    <row r="4">
      <c r="A4" s="3" t="inlineStr">
        <is>
          <t>تست واحد و اعتبارسنجی</t>
        </is>
      </c>
    </row>
    <row r="6">
      <c r="A6" s="4" t="inlineStr">
        <is>
          <t>🧪 تست واحد و اعتبارسنجی</t>
        </is>
      </c>
    </row>
    <row r="8">
      <c r="A8" s="6" t="inlineStr">
        <is>
          <t>این شیت برای تست خودکار فرمول‌ها طراحی شده است.</t>
        </is>
      </c>
    </row>
    <row r="10">
      <c r="A10" s="4" t="inlineStr">
        <is>
          <t>نوع تست</t>
        </is>
      </c>
      <c r="B10" s="4" t="inlineStr">
        <is>
          <t>شرط</t>
        </is>
      </c>
      <c r="C10" s="4" t="inlineStr">
        <is>
          <t>خروجی انتظار</t>
        </is>
      </c>
    </row>
    <row r="11">
      <c r="A11" t="inlineStr">
        <is>
          <t>تست ورودی صفر</t>
        </is>
      </c>
      <c r="B11" t="inlineStr">
        <is>
          <t>W2=0</t>
        </is>
      </c>
      <c r="C11" t="inlineStr">
        <is>
          <t>باید "—" نمایش دهد</t>
        </is>
      </c>
    </row>
    <row r="12">
      <c r="A12" t="inlineStr">
        <is>
          <t>تست ورودی منفی</t>
        </is>
      </c>
      <c r="B12" t="inlineStr">
        <is>
          <t>جرم منفی</t>
        </is>
      </c>
      <c r="C12" t="inlineStr">
        <is>
          <t>باید خطای Data Validation دهد</t>
        </is>
      </c>
    </row>
    <row r="13">
      <c r="A13" t="inlineStr">
        <is>
          <t>تست داده مرزی</t>
        </is>
      </c>
      <c r="B13" t="inlineStr">
        <is>
          <t>SSD &lt; OD</t>
        </is>
      </c>
      <c r="C13" t="inlineStr">
        <is>
          <t>باید ❌ فیزیکی نمایش دهد</t>
        </is>
      </c>
    </row>
    <row r="14">
      <c r="A14" t="inlineStr">
        <is>
          <t>تست داده خراب</t>
        </is>
      </c>
      <c r="B14" t="inlineStr">
        <is>
          <t>مجموع الک‌ها ≠ جرم اولیه</t>
        </is>
      </c>
      <c r="C14" t="inlineStr">
        <is>
          <t>باید هشدار خطای جرم دهد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🏠 راهنما</t>
        </is>
      </c>
      <c r="B1" s="1" t="inlineStr">
        <is>
          <t>📑 گزارش</t>
        </is>
      </c>
      <c r="C1" s="1" t="inlineStr">
        <is>
          <t>🔒 وضعیت</t>
        </is>
      </c>
    </row>
    <row r="3">
      <c r="A3" s="2" t="inlineStr">
        <is>
          <t>📋 06_خطاها_هشدارها</t>
        </is>
      </c>
    </row>
    <row r="4">
      <c r="A4" s="3" t="inlineStr">
        <is>
          <t>تجمع زنده هشدارهای فعال</t>
        </is>
      </c>
    </row>
    <row r="6">
      <c r="A6" s="4" t="inlineStr">
        <is>
          <t>⚠️ تجمع زنده هشدارهای فعال</t>
        </is>
      </c>
    </row>
    <row r="8">
      <c r="A8" s="21" t="inlineStr">
        <is>
          <t>شیت</t>
        </is>
      </c>
      <c r="B8" s="21" t="inlineStr">
        <is>
          <t>نوع هشدار</t>
        </is>
      </c>
      <c r="C8" s="21" t="inlineStr">
        <is>
          <t>توضیحات</t>
        </is>
      </c>
      <c r="D8" s="21" t="inlineStr">
        <is>
          <t>وضعیت</t>
        </is>
      </c>
    </row>
    <row r="10">
      <c r="A10" s="22" t="inlineStr">
        <is>
          <t>این شیت به صورت خودکار تمام هشدارهای فعال را نمایش می‌دهد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Standard</t>
        </is>
      </c>
      <c r="B1" s="18" t="inlineStr">
        <is>
          <t>Test</t>
        </is>
      </c>
      <c r="C1" s="18" t="inlineStr">
        <is>
          <t>Parameter</t>
        </is>
      </c>
      <c r="D1" s="18" t="inlineStr">
        <is>
          <t>Min</t>
        </is>
      </c>
      <c r="E1" s="18" t="inlineStr">
        <is>
          <t>Max</t>
        </is>
      </c>
      <c r="F1" s="18" t="inlineStr">
        <is>
          <t>Unit</t>
        </is>
      </c>
    </row>
    <row r="2">
      <c r="A2" s="6" t="inlineStr">
        <is>
          <t>ISIRI 302</t>
        </is>
      </c>
      <c r="B2" s="6" t="inlineStr">
        <is>
          <t>Sieve Analysis</t>
        </is>
      </c>
      <c r="C2" s="6" t="inlineStr">
        <is>
          <t>Passing #4</t>
        </is>
      </c>
      <c r="D2" s="6" t="inlineStr">
        <is>
          <t>95</t>
        </is>
      </c>
      <c r="E2" s="6" t="inlineStr">
        <is>
          <t>100</t>
        </is>
      </c>
      <c r="F2" s="6" t="inlineStr">
        <is>
          <t>%</t>
        </is>
      </c>
    </row>
    <row r="3">
      <c r="A3" s="6" t="inlineStr">
        <is>
          <t>ASTM C136</t>
        </is>
      </c>
      <c r="B3" s="6" t="inlineStr">
        <is>
          <t>Sieve Analysis</t>
        </is>
      </c>
      <c r="C3" s="6" t="inlineStr">
        <is>
          <t>Mass Error</t>
        </is>
      </c>
      <c r="D3" s="6" t="inlineStr">
        <is>
          <t>0</t>
        </is>
      </c>
      <c r="E3" s="6" t="inlineStr">
        <is>
          <t>0.3</t>
        </is>
      </c>
      <c r="F3" s="6" t="inlineStr">
        <is>
          <t>%</t>
        </is>
      </c>
    </row>
    <row r="4">
      <c r="A4" s="6" t="inlineStr">
        <is>
          <t>ASTM C127</t>
        </is>
      </c>
      <c r="B4" s="6" t="inlineStr">
        <is>
          <t>Specific Gravity</t>
        </is>
      </c>
      <c r="C4" s="6" t="inlineStr">
        <is>
          <t>SSD ≥ OD</t>
        </is>
      </c>
      <c r="D4" s="6" t="inlineStr">
        <is>
          <t>—</t>
        </is>
      </c>
      <c r="E4" s="6" t="inlineStr">
        <is>
          <t>—</t>
        </is>
      </c>
      <c r="F4" s="6" t="inlineStr">
        <is>
          <t>—</t>
        </is>
      </c>
    </row>
    <row r="5">
      <c r="A5" s="6" t="inlineStr">
        <is>
          <t>ASTM C566</t>
        </is>
      </c>
      <c r="B5" s="6" t="inlineStr">
        <is>
          <t>Moisture Content</t>
        </is>
      </c>
      <c r="C5" s="6" t="inlineStr">
        <is>
          <t>Base</t>
        </is>
      </c>
      <c r="D5" s="6" t="inlineStr">
        <is>
          <t>Dry</t>
        </is>
      </c>
      <c r="E5" s="6" t="inlineStr">
        <is>
          <t>—</t>
        </is>
      </c>
      <c r="F5" s="6" t="inlineStr">
        <is>
          <t>—</t>
        </is>
      </c>
    </row>
    <row r="6">
      <c r="A6" s="6" t="inlineStr">
        <is>
          <t>EN 196-1</t>
        </is>
      </c>
      <c r="B6" s="6" t="inlineStr">
        <is>
          <t>Mortar Strength</t>
        </is>
      </c>
      <c r="C6" s="6" t="inlineStr">
        <is>
          <t>Outlier Deviation</t>
        </is>
      </c>
      <c r="D6" s="6" t="inlineStr">
        <is>
          <t>±10</t>
        </is>
      </c>
      <c r="E6" s="6" t="inlineStr">
        <is>
          <t>—</t>
        </is>
      </c>
      <c r="F6" s="6" t="inlineStr">
        <is>
          <t>%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Unit Conversion Factors</t>
        </is>
      </c>
    </row>
    <row r="3">
      <c r="A3" t="inlineStr">
        <is>
          <t>From</t>
        </is>
      </c>
      <c r="B3" t="inlineStr">
        <is>
          <t>To</t>
        </is>
      </c>
      <c r="C3" t="inlineStr">
        <is>
          <t>Factor</t>
        </is>
      </c>
    </row>
    <row r="4">
      <c r="A4" s="6" t="inlineStr">
        <is>
          <t>kgf</t>
        </is>
      </c>
      <c r="B4" s="6" t="inlineStr">
        <is>
          <t>N</t>
        </is>
      </c>
      <c r="C4" s="6" t="inlineStr">
        <is>
          <t>9.80665</t>
        </is>
      </c>
    </row>
    <row r="5">
      <c r="A5" s="6" t="inlineStr">
        <is>
          <t>kN</t>
        </is>
      </c>
      <c r="B5" s="6" t="inlineStr">
        <is>
          <t>N</t>
        </is>
      </c>
      <c r="C5" s="6" t="inlineStr">
        <is>
          <t>1000</t>
        </is>
      </c>
    </row>
    <row r="6">
      <c r="A6" s="6" t="inlineStr">
        <is>
          <t>lbf</t>
        </is>
      </c>
      <c r="B6" s="6" t="inlineStr">
        <is>
          <t>N</t>
        </is>
      </c>
      <c r="C6" s="6" t="inlineStr">
        <is>
          <t>4.44822</t>
        </is>
      </c>
    </row>
    <row r="7">
      <c r="A7" s="6" t="inlineStr">
        <is>
          <t>°C</t>
        </is>
      </c>
      <c r="B7" s="6" t="inlineStr">
        <is>
          <t>°F</t>
        </is>
      </c>
      <c r="C7" s="6">
        <f>C*9/5+32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اعتبارسنجی و اِراتای کتاب</t>
        </is>
      </c>
    </row>
    <row r="3">
      <c r="A3" t="inlineStr">
        <is>
          <t>کد آزمون</t>
        </is>
      </c>
      <c r="B3" t="inlineStr">
        <is>
          <t>مقدار چاپ کتاب</t>
        </is>
      </c>
      <c r="C3" t="inlineStr">
        <is>
          <t>مقدار مرجع ابزار</t>
        </is>
      </c>
      <c r="D3" t="inlineStr">
        <is>
          <t>علت اصلاح</t>
        </is>
      </c>
      <c r="E3" t="inlineStr">
        <is>
          <t>وضعیت</t>
        </is>
      </c>
    </row>
    <row r="4">
      <c r="A4" s="6" t="inlineStr">
        <is>
          <t>1-2</t>
        </is>
      </c>
      <c r="B4" s="23" t="inlineStr">
        <is>
          <t>پایه تر</t>
        </is>
      </c>
      <c r="C4" s="24" t="inlineStr">
        <is>
          <t>پایه خشک</t>
        </is>
      </c>
      <c r="D4" s="6" t="inlineStr">
        <is>
          <t>مغایر ASTM C566</t>
        </is>
      </c>
      <c r="E4" s="6" t="inlineStr">
        <is>
          <t>✅</t>
        </is>
      </c>
    </row>
    <row r="5">
      <c r="A5" s="6" t="inlineStr">
        <is>
          <t>1-4ج</t>
        </is>
      </c>
      <c r="B5" s="23" t="inlineStr">
        <is>
          <t>OD=1.51</t>
        </is>
      </c>
      <c r="C5" s="24" t="inlineStr">
        <is>
          <t>≈2.6x</t>
        </is>
      </c>
      <c r="D5" s="6" t="inlineStr">
        <is>
          <t>جابه‌جایی A/S</t>
        </is>
      </c>
      <c r="E5" s="6" t="inlineStr">
        <is>
          <t>✅</t>
        </is>
      </c>
    </row>
    <row r="6">
      <c r="A6" s="6" t="inlineStr">
        <is>
          <t>1-5</t>
        </is>
      </c>
      <c r="B6" s="23" t="inlineStr">
        <is>
          <t>S=1600</t>
        </is>
      </c>
      <c r="C6" s="24" t="inlineStr">
        <is>
          <t>S بی‌بُعد</t>
        </is>
      </c>
      <c r="D6" s="6" t="inlineStr">
        <is>
          <t>برچسب ستون</t>
        </is>
      </c>
      <c r="E6" s="6" t="inlineStr">
        <is>
          <t>✅</t>
        </is>
      </c>
    </row>
    <row r="7">
      <c r="A7" s="6" t="inlineStr">
        <is>
          <t>1-6</t>
        </is>
      </c>
      <c r="B7" s="23" t="inlineStr">
        <is>
          <t>ماسه/رس</t>
        </is>
      </c>
      <c r="C7" s="24" t="inlineStr">
        <is>
          <t>ماسه/(ماسه+رس)</t>
        </is>
      </c>
      <c r="D7" s="6" t="inlineStr">
        <is>
          <t>متن مغایر نمونه</t>
        </is>
      </c>
      <c r="E7" s="6" t="inlineStr">
        <is>
          <t>✅</t>
        </is>
      </c>
    </row>
    <row r="8">
      <c r="A8" s="6" t="inlineStr">
        <is>
          <t>2-4</t>
        </is>
      </c>
      <c r="B8" s="23" t="inlineStr">
        <is>
          <t>11.9</t>
        </is>
      </c>
      <c r="C8" s="24" t="inlineStr">
        <is>
          <t>≈20.5</t>
        </is>
      </c>
      <c r="D8" s="6" t="inlineStr">
        <is>
          <t>ضریب kgf/مساحت</t>
        </is>
      </c>
      <c r="E8" s="6" t="inlineStr">
        <is>
          <t>✅</t>
        </is>
      </c>
    </row>
    <row r="9">
      <c r="A9" s="6" t="inlineStr">
        <is>
          <t>4-1</t>
        </is>
      </c>
      <c r="B9" s="23" t="inlineStr">
        <is>
          <t>41.5</t>
        </is>
      </c>
      <c r="C9" s="24" t="inlineStr">
        <is>
          <t>≈40.4</t>
        </is>
      </c>
      <c r="D9" s="6" t="inlineStr">
        <is>
          <t>محاسبهٔ مساحت</t>
        </is>
      </c>
      <c r="E9" s="6" t="inlineStr">
        <is>
          <t>✅</t>
        </is>
      </c>
    </row>
    <row r="10">
      <c r="A10" s="6" t="inlineStr">
        <is>
          <t>4-2</t>
        </is>
      </c>
      <c r="B10" s="23" t="inlineStr">
        <is>
          <t>2.53</t>
        </is>
      </c>
      <c r="C10" s="24" t="inlineStr">
        <is>
          <t>≈5.07</t>
        </is>
      </c>
      <c r="D10" s="6" t="inlineStr">
        <is>
          <t>اعمال ضریب ۲</t>
        </is>
      </c>
      <c r="E10" s="6" t="inlineStr">
        <is>
          <t>✅</t>
        </is>
      </c>
    </row>
    <row r="11">
      <c r="A11" s="6" t="inlineStr">
        <is>
          <t>4-3</t>
        </is>
      </c>
      <c r="B11" s="23" t="inlineStr">
        <is>
          <t>33.466</t>
        </is>
      </c>
      <c r="C11" s="24" t="inlineStr">
        <is>
          <t>≈7.5</t>
        </is>
      </c>
      <c r="D11" s="6" t="inlineStr">
        <is>
          <t>خطای فاکتور/واحد</t>
        </is>
      </c>
      <c r="E11" s="6" t="inlineStr">
        <is>
          <t>✅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واژه‌نامه فنی</t>
        </is>
      </c>
    </row>
    <row r="3">
      <c r="A3" t="inlineStr">
        <is>
          <t>اصطلاح فارسی</t>
        </is>
      </c>
      <c r="B3" t="inlineStr">
        <is>
          <t>English</t>
        </is>
      </c>
      <c r="C3" t="inlineStr">
        <is>
          <t>توضیحات</t>
        </is>
      </c>
    </row>
    <row r="4">
      <c r="A4" s="6" t="inlineStr">
        <is>
          <t>OD</t>
        </is>
      </c>
      <c r="B4" s="6" t="inlineStr">
        <is>
          <t>Oven-Dry</t>
        </is>
      </c>
      <c r="C4" s="6" t="inlineStr">
        <is>
          <t>وزن مخصوص خشک کوره‌ای</t>
        </is>
      </c>
    </row>
    <row r="5">
      <c r="A5" s="6" t="inlineStr">
        <is>
          <t>SSD</t>
        </is>
      </c>
      <c r="B5" s="6" t="inlineStr">
        <is>
          <t>Saturated Surface-Dry</t>
        </is>
      </c>
      <c r="C5" s="6" t="inlineStr">
        <is>
          <t>وزن مخصوص اشباع با سطح خشک</t>
        </is>
      </c>
    </row>
    <row r="6">
      <c r="A6" s="6" t="inlineStr">
        <is>
          <t>App</t>
        </is>
      </c>
      <c r="B6" s="6" t="inlineStr">
        <is>
          <t>Apparent</t>
        </is>
      </c>
      <c r="C6" s="6" t="inlineStr">
        <is>
          <t>وزن مخصوص ظاهری</t>
        </is>
      </c>
    </row>
    <row r="7">
      <c r="A7" s="6" t="inlineStr">
        <is>
          <t>FM</t>
        </is>
      </c>
      <c r="B7" s="6" t="inlineStr">
        <is>
          <t>Fineness Modulus</t>
        </is>
      </c>
      <c r="C7" s="6" t="inlineStr">
        <is>
          <t>مدول نرمی</t>
        </is>
      </c>
    </row>
    <row r="8">
      <c r="A8" s="6" t="inlineStr">
        <is>
          <t>SE</t>
        </is>
      </c>
      <c r="B8" s="6" t="inlineStr">
        <is>
          <t>Sand Equivalent</t>
        </is>
      </c>
      <c r="C8" s="6" t="inlineStr">
        <is>
          <t>معادل ماسه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پایگاه داده مصالح (Typical Values)</t>
        </is>
      </c>
    </row>
    <row r="3">
      <c r="A3" t="inlineStr">
        <is>
          <t>Material Type</t>
        </is>
      </c>
      <c r="B3" t="inlineStr">
        <is>
          <t>SG (SSD)</t>
        </is>
      </c>
      <c r="C3" t="inlineStr">
        <is>
          <t>Absorption (%)</t>
        </is>
      </c>
      <c r="D3" t="inlineStr">
        <is>
          <t>FM</t>
        </is>
      </c>
    </row>
    <row r="4">
      <c r="A4" s="6" t="inlineStr">
        <is>
          <t>Siliceous Gravel</t>
        </is>
      </c>
      <c r="B4" s="6" t="inlineStr">
        <is>
          <t>2.65</t>
        </is>
      </c>
      <c r="C4" s="6" t="inlineStr">
        <is>
          <t>1.2</t>
        </is>
      </c>
      <c r="D4" s="6" t="inlineStr">
        <is>
          <t>—</t>
        </is>
      </c>
    </row>
    <row r="5">
      <c r="A5" s="6" t="inlineStr">
        <is>
          <t>Limestone</t>
        </is>
      </c>
      <c r="B5" s="6" t="inlineStr">
        <is>
          <t>2.60</t>
        </is>
      </c>
      <c r="C5" s="6" t="inlineStr">
        <is>
          <t>1.5</t>
        </is>
      </c>
      <c r="D5" s="6" t="inlineStr">
        <is>
          <t>—</t>
        </is>
      </c>
    </row>
    <row r="6">
      <c r="A6" s="6" t="inlineStr">
        <is>
          <t>Natural Sand</t>
        </is>
      </c>
      <c r="B6" s="6" t="inlineStr">
        <is>
          <t>2.62</t>
        </is>
      </c>
      <c r="C6" s="6" t="inlineStr">
        <is>
          <t>1.0</t>
        </is>
      </c>
      <c r="D6" s="6" t="inlineStr">
        <is>
          <t>2.8</t>
        </is>
      </c>
    </row>
    <row r="7">
      <c r="A7" s="6" t="inlineStr">
        <is>
          <t>Crushed Stone</t>
        </is>
      </c>
      <c r="B7" s="6" t="inlineStr">
        <is>
          <t>2.70</t>
        </is>
      </c>
      <c r="C7" s="6" t="inlineStr">
        <is>
          <t>0.8</t>
        </is>
      </c>
      <c r="D7" s="6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2026-08-09T12:38:37Z</dcterms:created>
  <dcterms:modified xsi:type="dcterms:W3CDTF">2026-08-09T12:38:37Z</dcterms:modified>
</cp:coreProperties>
</file>