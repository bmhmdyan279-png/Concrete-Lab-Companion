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راهنما" sheetId="1" state="visible" r:id="rId1"/>
    <sheet name="01_اطلاعات_آزمون" sheetId="2" state="visible" r:id="rId2"/>
    <sheet name="1-1_دانه‌بندی" sheetId="3" state="visible" r:id="rId3"/>
    <sheet name="1-2_رطوبت" sheetId="4" state="visible" r:id="rId4"/>
    <sheet name="1-3_وزن_مخصوص" sheetId="5" state="visible" r:id="rId5"/>
    <sheet name="1-4_جذب_آب" sheetId="6" state="visible" r:id="rId6"/>
    <sheet name="1-5_چگالی_انباشته" sheetId="7" state="visible" r:id="rId7"/>
    <sheet name="1-6_معادل_ماسه" sheetId="8" state="visible" r:id="rId8"/>
    <sheet name="1-7_شکل_دانه" sheetId="9" state="visible" r:id="rId9"/>
    <sheet name="1-8_مواد_نرم" sheetId="10" state="visible" r:id="rId10"/>
    <sheet name="2-1_وزن_واحد" sheetId="11" state="visible" r:id="rId11"/>
    <sheet name="2-2_ویکات" sheetId="12" state="visible" r:id="rId12"/>
    <sheet name="2-3_گیرش" sheetId="13" state="visible" r:id="rId13"/>
    <sheet name="2-4_مقاومت_ملات" sheetId="14" state="visible" r:id="rId14"/>
    <sheet name="3-1_اسلامپ" sheetId="15" state="visible" r:id="rId15"/>
    <sheet name="3-2_تراکم" sheetId="16" state="visible" r:id="rId16"/>
    <sheet name="3-3_وزن_مخصوص_بتن" sheetId="17" state="visible" r:id="rId17"/>
    <sheet name="4-1_فشاری" sheetId="18" state="visible" r:id="rId18"/>
    <sheet name="4-2_کشش_قطری" sheetId="19" state="visible" r:id="rId19"/>
    <sheet name="4-3_خمشی" sheetId="20" state="visible" r:id="rId20"/>
    <sheet name="4-4_اولتراسونیک" sheetId="21" state="visible" r:id="rId21"/>
    <sheet name="4-5_چکش_اشمیت" sheetId="22" state="visible" r:id="rId22"/>
    <sheet name="03_گزارش" sheetId="23" state="visible" r:id="rId23"/>
    <sheet name="04_داشبورد" sheetId="24" state="visible" r:id="rId24"/>
    <sheet name="05_QA_Test" sheetId="25" state="visible" r:id="rId25"/>
    <sheet name="06_خطاها" sheetId="26" state="visible" r:id="rId26"/>
    <sheet name="_Reference_DB" sheetId="27" state="hidden" r:id="rId27"/>
    <sheet name="_Standards" sheetId="28" state="hidden" r:id="rId28"/>
    <sheet name="_Validation_Data" sheetId="29" state="hidden" r:id="rId29"/>
    <sheet name="_Glossary" sheetId="30" state="hidden" r:id="rId30"/>
    <sheet name="_Materials_DB" sheetId="31" state="hidden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Tahoma"/>
      <b val="1"/>
      <color rgb="001F4E79"/>
      <sz val="11"/>
    </font>
    <font>
      <name val="Tahoma"/>
      <b val="1"/>
      <color rgb="001F4E79"/>
      <sz val="14"/>
    </font>
    <font>
      <name val="Tahoma"/>
      <i val="1"/>
      <color rgb="00666666"/>
      <sz val="10"/>
    </font>
    <font>
      <name val="Tahoma"/>
      <b val="1"/>
      <sz val="11"/>
    </font>
    <font>
      <name val="Tahoma"/>
      <b val="1"/>
      <color rgb="00FFFFFF"/>
      <sz val="11"/>
    </font>
    <font>
      <b val="1"/>
    </font>
    <font>
      <name val="Calibri"/>
      <sz val="11"/>
    </font>
    <font>
      <i val="1"/>
      <color rgb="00C00000"/>
    </font>
    <font>
      <name val="Tahoma"/>
      <color rgb="00006100"/>
      <sz val="11"/>
    </font>
    <font>
      <name val="Tahoma"/>
      <b val="1"/>
      <color rgb="001F4E79"/>
      <sz val="16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2" borderId="1" pivotButton="0" quotePrefix="0" xfId="0"/>
    <xf numFmtId="0" fontId="5" fillId="7" borderId="0" applyAlignment="1" pivotButton="0" quotePrefix="0" xfId="0">
      <alignment horizontal="center" vertical="center" indent="1"/>
    </xf>
    <xf numFmtId="0" fontId="6" fillId="3" borderId="0" pivotButton="0" quotePrefix="0" xfId="0"/>
    <xf numFmtId="0" fontId="7" fillId="3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5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منحنی دانه‌بندی</a:t>
            </a:r>
          </a:p>
        </rich>
      </tx>
    </title>
    <plotArea>
      <scatterChart>
        <ser>
          <idx val="0"/>
          <order val="0"/>
          <tx>
            <v>نمونه</v>
          </tx>
          <spPr>
            <a:ln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'1-1_دانه‌بندی'!$H$11:$H$23</f>
            </numRef>
          </xVal>
          <yVal>
            <numRef>
              <f>'1-1_دانه‌بندی'!$I$11:$I$23</f>
            </numRef>
          </yVal>
        </ser>
        <axId val="10"/>
        <axId val="20"/>
      </scatterChart>
      <valAx>
        <axId val="10"/>
        <scaling>
          <logBase val="10"/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اندازه الک (mm)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درصد عبوری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7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00_راهنما</t>
        </is>
      </c>
    </row>
    <row r="4">
      <c r="A4" s="3" t="inlineStr">
        <is>
          <t>راهنما و Legend</t>
        </is>
      </c>
    </row>
    <row r="6">
      <c r="A6" s="4" t="inlineStr">
        <is>
          <t>🎨 راهنمای رنگ‌ها</t>
        </is>
      </c>
    </row>
    <row r="8">
      <c r="A8" t="inlineStr">
        <is>
          <t>ورودی</t>
        </is>
      </c>
      <c r="B8" s="5" t="n"/>
      <c r="C8" t="inlineStr">
        <is>
          <t>زرد</t>
        </is>
      </c>
    </row>
    <row r="9">
      <c r="A9" t="inlineStr">
        <is>
          <t>محاسبه</t>
        </is>
      </c>
      <c r="B9" s="6" t="n"/>
      <c r="C9" t="inlineStr">
        <is>
          <t>خاکستری</t>
        </is>
      </c>
    </row>
    <row r="10">
      <c r="A10" t="inlineStr">
        <is>
          <t>قبول</t>
        </is>
      </c>
      <c r="B10" s="7" t="n"/>
      <c r="C10" t="inlineStr">
        <is>
          <t>سبز</t>
        </is>
      </c>
    </row>
    <row r="11">
      <c r="A11" t="inlineStr">
        <is>
          <t>هشدار</t>
        </is>
      </c>
      <c r="B11" s="8" t="n"/>
      <c r="C11" t="inlineStr">
        <is>
          <t>نارنجی</t>
        </is>
      </c>
    </row>
    <row r="12">
      <c r="A12" t="inlineStr">
        <is>
          <t>رد</t>
        </is>
      </c>
      <c r="B12" s="9" t="n"/>
      <c r="C12" t="inlineStr">
        <is>
          <t>قرمز</t>
        </is>
      </c>
    </row>
    <row r="15">
      <c r="A15" s="4" t="inlineStr">
        <is>
          <t>📜 قانون طلایی: اول دستی حساب کن، بعد اینجا راستی‌آزمایی کن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01_اطلاعات_آزمون</t>
        </is>
      </c>
    </row>
    <row r="4">
      <c r="A4" s="3" t="inlineStr">
        <is>
          <t>شناسنامه پروژه</t>
        </is>
      </c>
    </row>
    <row r="8">
      <c r="A8" s="4" t="inlineStr">
        <is>
          <t>نام پروژه:</t>
        </is>
      </c>
      <c r="B8" s="10" t="n"/>
    </row>
    <row r="9">
      <c r="A9" s="4" t="inlineStr">
        <is>
          <t>شماره نمونه:</t>
        </is>
      </c>
      <c r="B9" s="10" t="n"/>
    </row>
    <row r="10">
      <c r="A10" s="4" t="inlineStr">
        <is>
          <t>تاریخ:</t>
        </is>
      </c>
      <c r="B10" s="10" t="n"/>
    </row>
    <row r="11">
      <c r="A11" s="4" t="inlineStr">
        <is>
          <t>اپراتور:</t>
        </is>
      </c>
      <c r="B11" s="10" t="n"/>
    </row>
    <row r="12">
      <c r="A12" s="4" t="inlineStr">
        <is>
          <t>دستگاه:</t>
        </is>
      </c>
      <c r="B12" s="10" t="n"/>
    </row>
    <row r="13">
      <c r="A13" s="4" t="inlineStr">
        <is>
          <t>دما (°C):</t>
        </is>
      </c>
      <c r="B13" s="10" t="n"/>
    </row>
    <row r="14">
      <c r="A14" s="4" t="inlineStr">
        <is>
          <t>رطوبت (%):</t>
        </is>
      </c>
      <c r="B14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1-1_دانه‌بندی</t>
        </is>
      </c>
    </row>
    <row r="4">
      <c r="A4" s="3" t="inlineStr">
        <is>
          <t>ASTM C136</t>
        </is>
      </c>
    </row>
    <row r="6">
      <c r="A6" s="4" t="inlineStr">
        <is>
          <t>آزمایش دانه‌بندی (ASTM C136)</t>
        </is>
      </c>
    </row>
    <row r="8">
      <c r="A8" s="4" t="inlineStr">
        <is>
          <t>جرم خشک اولیه (g):</t>
        </is>
      </c>
      <c r="B8" s="10" t="n"/>
    </row>
    <row r="10">
      <c r="A10" s="11" t="inlineStr">
        <is>
          <t>الک</t>
        </is>
      </c>
      <c r="B10" s="11" t="inlineStr">
        <is>
          <t>جرم مانده (g)</t>
        </is>
      </c>
      <c r="C10" s="11" t="inlineStr">
        <is>
          <t>% مانده</t>
        </is>
      </c>
      <c r="D10" s="11" t="inlineStr">
        <is>
          <t>% تجمعی</t>
        </is>
      </c>
      <c r="E10" s="11" t="inlineStr">
        <is>
          <t>% عبوری</t>
        </is>
      </c>
      <c r="F10" s="11" t="inlineStr">
        <is>
          <t>استاندارد</t>
        </is>
      </c>
    </row>
    <row r="11">
      <c r="A11" t="inlineStr">
        <is>
          <t>75mm</t>
        </is>
      </c>
      <c r="B11" s="10" t="n"/>
      <c r="C11" s="6">
        <f>IFERROR(ROUND(B11/B$8*100,1),"—")</f>
        <v/>
      </c>
      <c r="D11" s="6">
        <f>C11</f>
        <v/>
      </c>
      <c r="E11" s="6">
        <f>IFERROR(ROUND(100-D11,1),"—")</f>
        <v/>
      </c>
      <c r="F11" t="inlineStr">
        <is>
          <t>FALSE</t>
        </is>
      </c>
      <c r="H11" t="n">
        <v>75</v>
      </c>
      <c r="I11">
        <f>E11</f>
        <v/>
      </c>
    </row>
    <row r="12">
      <c r="A12" t="inlineStr">
        <is>
          <t>50mm</t>
        </is>
      </c>
      <c r="B12" s="10" t="n"/>
      <c r="C12" s="6">
        <f>IFERROR(ROUND(B12/B$8*100,1),"—")</f>
        <v/>
      </c>
      <c r="D12" s="6">
        <f>IFERROR(C12+D11,C12)</f>
        <v/>
      </c>
      <c r="E12" s="6">
        <f>IFERROR(ROUND(100-D12,1),"—")</f>
        <v/>
      </c>
      <c r="F12" t="inlineStr">
        <is>
          <t>FALSE</t>
        </is>
      </c>
      <c r="H12" t="n">
        <v>50</v>
      </c>
      <c r="I12">
        <f>E12</f>
        <v/>
      </c>
    </row>
    <row r="13">
      <c r="A13" t="inlineStr">
        <is>
          <t>37.5mm</t>
        </is>
      </c>
      <c r="B13" s="10" t="n"/>
      <c r="C13" s="6">
        <f>IFERROR(ROUND(B13/B$8*100,1),"—")</f>
        <v/>
      </c>
      <c r="D13" s="6">
        <f>IFERROR(C13+D12,C13)</f>
        <v/>
      </c>
      <c r="E13" s="6">
        <f>IFERROR(ROUND(100-D13,1),"—")</f>
        <v/>
      </c>
      <c r="F13" t="inlineStr">
        <is>
          <t>FALSE</t>
        </is>
      </c>
      <c r="H13" t="n">
        <v>37.5</v>
      </c>
      <c r="I13">
        <f>E13</f>
        <v/>
      </c>
    </row>
    <row r="14">
      <c r="A14" t="inlineStr">
        <is>
          <t>25mm</t>
        </is>
      </c>
      <c r="B14" s="10" t="n"/>
      <c r="C14" s="6">
        <f>IFERROR(ROUND(B14/B$8*100,1),"—")</f>
        <v/>
      </c>
      <c r="D14" s="6">
        <f>IFERROR(C14+D13,C14)</f>
        <v/>
      </c>
      <c r="E14" s="6">
        <f>IFERROR(ROUND(100-D14,1),"—")</f>
        <v/>
      </c>
      <c r="F14" t="inlineStr">
        <is>
          <t>FALSE</t>
        </is>
      </c>
      <c r="H14" t="n">
        <v>25</v>
      </c>
      <c r="I14">
        <f>E14</f>
        <v/>
      </c>
    </row>
    <row r="15">
      <c r="A15" t="inlineStr">
        <is>
          <t>19mm</t>
        </is>
      </c>
      <c r="B15" s="10" t="n"/>
      <c r="C15" s="6">
        <f>IFERROR(ROUND(B15/B$8*100,1),"—")</f>
        <v/>
      </c>
      <c r="D15" s="6">
        <f>IFERROR(C15+D14,C15)</f>
        <v/>
      </c>
      <c r="E15" s="6">
        <f>IFERROR(ROUND(100-D15,1),"—")</f>
        <v/>
      </c>
      <c r="F15" t="inlineStr">
        <is>
          <t>FALSE</t>
        </is>
      </c>
      <c r="H15" t="n">
        <v>19</v>
      </c>
      <c r="I15">
        <f>E15</f>
        <v/>
      </c>
    </row>
    <row r="16">
      <c r="A16" t="inlineStr">
        <is>
          <t>12.5mm</t>
        </is>
      </c>
      <c r="B16" s="10" t="n"/>
      <c r="C16" s="6">
        <f>IFERROR(ROUND(B16/B$8*100,1),"—")</f>
        <v/>
      </c>
      <c r="D16" s="6">
        <f>IFERROR(C16+D15,C16)</f>
        <v/>
      </c>
      <c r="E16" s="6">
        <f>IFERROR(ROUND(100-D16,1),"—")</f>
        <v/>
      </c>
      <c r="F16" t="inlineStr">
        <is>
          <t>FALSE</t>
        </is>
      </c>
      <c r="H16" t="n">
        <v>12.5</v>
      </c>
      <c r="I16">
        <f>E16</f>
        <v/>
      </c>
    </row>
    <row r="17">
      <c r="A17" t="inlineStr">
        <is>
          <t>9.5mm</t>
        </is>
      </c>
      <c r="B17" s="10" t="n"/>
      <c r="C17" s="6">
        <f>IFERROR(ROUND(B17/B$8*100,1),"—")</f>
        <v/>
      </c>
      <c r="D17" s="6">
        <f>IFERROR(C17+D16,C17)</f>
        <v/>
      </c>
      <c r="E17" s="6">
        <f>IFERROR(ROUND(100-D17,1),"—")</f>
        <v/>
      </c>
      <c r="F17" t="inlineStr">
        <is>
          <t>FALSE</t>
        </is>
      </c>
      <c r="H17" t="n">
        <v>9.5</v>
      </c>
      <c r="I17">
        <f>E17</f>
        <v/>
      </c>
    </row>
    <row r="18">
      <c r="A18" t="inlineStr">
        <is>
          <t>4.75mm</t>
        </is>
      </c>
      <c r="B18" s="10" t="n"/>
      <c r="C18" s="6">
        <f>IFERROR(ROUND(B18/B$8*100,1),"—")</f>
        <v/>
      </c>
      <c r="D18" s="6">
        <f>IFERROR(C18+D17,C18)</f>
        <v/>
      </c>
      <c r="E18" s="6">
        <f>IFERROR(ROUND(100-D18,1),"—")</f>
        <v/>
      </c>
      <c r="F18" t="inlineStr">
        <is>
          <t>TRUE</t>
        </is>
      </c>
      <c r="H18" t="n">
        <v>4.75</v>
      </c>
      <c r="I18">
        <f>E18</f>
        <v/>
      </c>
    </row>
    <row r="19">
      <c r="A19" t="inlineStr">
        <is>
          <t>2.36mm</t>
        </is>
      </c>
      <c r="B19" s="10" t="n"/>
      <c r="C19" s="6">
        <f>IFERROR(ROUND(B19/B$8*100,1),"—")</f>
        <v/>
      </c>
      <c r="D19" s="6">
        <f>IFERROR(C19+D18,C19)</f>
        <v/>
      </c>
      <c r="E19" s="6">
        <f>IFERROR(ROUND(100-D19,1),"—")</f>
        <v/>
      </c>
      <c r="F19" t="inlineStr">
        <is>
          <t>TRUE</t>
        </is>
      </c>
      <c r="H19" t="n">
        <v>2.36</v>
      </c>
      <c r="I19">
        <f>E19</f>
        <v/>
      </c>
    </row>
    <row r="20">
      <c r="A20" t="inlineStr">
        <is>
          <t>1.18mm</t>
        </is>
      </c>
      <c r="B20" s="10" t="n"/>
      <c r="C20" s="6">
        <f>IFERROR(ROUND(B20/B$8*100,1),"—")</f>
        <v/>
      </c>
      <c r="D20" s="6">
        <f>IFERROR(C20+D19,C20)</f>
        <v/>
      </c>
      <c r="E20" s="6">
        <f>IFERROR(ROUND(100-D20,1),"—")</f>
        <v/>
      </c>
      <c r="F20" t="inlineStr">
        <is>
          <t>TRUE</t>
        </is>
      </c>
      <c r="H20" t="n">
        <v>1.18</v>
      </c>
      <c r="I20">
        <f>E20</f>
        <v/>
      </c>
    </row>
    <row r="21">
      <c r="A21" t="inlineStr">
        <is>
          <t>600µm</t>
        </is>
      </c>
      <c r="B21" s="10" t="n"/>
      <c r="C21" s="6">
        <f>IFERROR(ROUND(B21/B$8*100,1),"—")</f>
        <v/>
      </c>
      <c r="D21" s="6">
        <f>IFERROR(C21+D20,C21)</f>
        <v/>
      </c>
      <c r="E21" s="6">
        <f>IFERROR(ROUND(100-D21,1),"—")</f>
        <v/>
      </c>
      <c r="F21" t="inlineStr">
        <is>
          <t>TRUE</t>
        </is>
      </c>
      <c r="H21" t="n">
        <v>0.6</v>
      </c>
      <c r="I21">
        <f>E21</f>
        <v/>
      </c>
    </row>
    <row r="22">
      <c r="A22" t="inlineStr">
        <is>
          <t>300µm</t>
        </is>
      </c>
      <c r="B22" s="10" t="n"/>
      <c r="C22" s="6">
        <f>IFERROR(ROUND(B22/B$8*100,1),"—")</f>
        <v/>
      </c>
      <c r="D22" s="6">
        <f>IFERROR(C22+D21,C22)</f>
        <v/>
      </c>
      <c r="E22" s="6">
        <f>IFERROR(ROUND(100-D22,1),"—")</f>
        <v/>
      </c>
      <c r="F22" t="inlineStr">
        <is>
          <t>TRUE</t>
        </is>
      </c>
      <c r="H22" t="n">
        <v>0.3</v>
      </c>
      <c r="I22">
        <f>E22</f>
        <v/>
      </c>
    </row>
    <row r="23">
      <c r="A23" t="inlineStr">
        <is>
          <t>150µm</t>
        </is>
      </c>
      <c r="B23" s="10" t="n"/>
      <c r="C23" s="6">
        <f>IFERROR(ROUND(B23/B$8*100,1),"—")</f>
        <v/>
      </c>
      <c r="D23" s="6">
        <f>IFERROR(C23+D22,C23)</f>
        <v/>
      </c>
      <c r="E23" s="6">
        <f>IFERROR(ROUND(100-D23,1),"—")</f>
        <v/>
      </c>
      <c r="F23" t="inlineStr">
        <is>
          <t>TRUE</t>
        </is>
      </c>
      <c r="H23" t="n">
        <v>0.15</v>
      </c>
      <c r="I23">
        <f>E23</f>
        <v/>
      </c>
    </row>
    <row r="25">
      <c r="A25" t="inlineStr">
        <is>
          <t>خطای جرم (%)</t>
        </is>
      </c>
      <c r="B25" s="8">
        <f>IFERROR(ROUND(ABS(B8-SUM(B11:B23))/B8*100,2),"—")</f>
        <v/>
      </c>
    </row>
    <row r="26">
      <c r="A26" t="inlineStr">
        <is>
          <t>مدول نرمی (FM)</t>
        </is>
      </c>
      <c r="B26" s="12">
        <f>IFERROR(SUMPRODUCT((F11:F23=TRUE)*D11:D23)/100,"—")</f>
        <v/>
      </c>
    </row>
  </sheetData>
  <dataValidations count="1">
    <dataValidation sqref="B11:B23" showDropDown="0" showInputMessage="0" showErrorMessage="0" allowBlank="0" error="جرم نمی‌تواند منفی باشد" type="decimal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1-2_رطوبت</t>
        </is>
      </c>
    </row>
    <row r="4">
      <c r="A4" s="3" t="inlineStr">
        <is>
          <t>ASTM C566</t>
        </is>
      </c>
    </row>
    <row r="8">
      <c r="A8" s="4" t="inlineStr">
        <is>
          <t>W1 - وزن تر (g):</t>
        </is>
      </c>
      <c r="B8" s="10" t="n"/>
    </row>
    <row r="9">
      <c r="A9" s="4" t="inlineStr">
        <is>
          <t>W2 - وزن خشک (g):</t>
        </is>
      </c>
      <c r="B9" s="10" t="n"/>
    </row>
    <row r="11">
      <c r="A11" s="4" t="inlineStr">
        <is>
          <t>درصد رطوبت (%):</t>
        </is>
      </c>
      <c r="B11" s="13">
        <f>IFERROR(ROUND((B8-B9)/B9*100,2),"—")</f>
        <v/>
      </c>
    </row>
    <row r="13">
      <c r="A13" s="14" t="inlineStr">
        <is>
          <t>⚠️ طبق ASTM C566، درصد رطوبت بر پایه وزن خشک (W2) محاسبه می‌شود.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1-3_وزن_مخصوص</t>
        </is>
      </c>
    </row>
    <row r="4">
      <c r="A4" s="3" t="inlineStr">
        <is>
          <t>ASTM C127/C128</t>
        </is>
      </c>
    </row>
    <row r="8">
      <c r="A8" s="4" t="inlineStr">
        <is>
          <t>A - وزن خشک (g):</t>
        </is>
      </c>
      <c r="B8" s="10" t="n"/>
    </row>
    <row r="9">
      <c r="A9" s="4" t="inlineStr">
        <is>
          <t>B - وزن SSD (g):</t>
        </is>
      </c>
      <c r="B9" s="10" t="n"/>
    </row>
    <row r="10">
      <c r="A10" s="4" t="inlineStr">
        <is>
          <t>C - وزن در آب (g):</t>
        </is>
      </c>
      <c r="B10" s="10" t="n"/>
    </row>
    <row r="12">
      <c r="A12" s="4" t="inlineStr">
        <is>
          <t>OD:</t>
        </is>
      </c>
      <c r="B12" s="13">
        <f>IFERROR(ROUND(B8/(B9-B10),2),"—")</f>
        <v/>
      </c>
    </row>
    <row r="13">
      <c r="A13" s="4" t="inlineStr">
        <is>
          <t>SSD:</t>
        </is>
      </c>
      <c r="B13" s="13">
        <f>IFERROR(ROUND(B9/(B9-B10),2),"—")</f>
        <v/>
      </c>
    </row>
    <row r="14">
      <c r="A14" s="4" t="inlineStr">
        <is>
          <t>App:</t>
        </is>
      </c>
      <c r="B14" s="13">
        <f>IFERROR(ROUND(B8/(B8-B10),2),"—")</f>
        <v/>
      </c>
    </row>
    <row r="15">
      <c r="A15" s="4" t="inlineStr">
        <is>
          <t>جذب (%):</t>
        </is>
      </c>
      <c r="B15" s="13">
        <f>IFERROR(ROUND((B9-B8)/B8*100,2),"—")</f>
        <v/>
      </c>
    </row>
    <row r="17">
      <c r="A17" t="inlineStr">
        <is>
          <t>✅ کنترل فیزیکی:</t>
        </is>
      </c>
      <c r="B17" s="15">
        <f>IF(B13&lt;B12,"❌ SSD &lt; OD","✅ معتبر")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1-4_جذب_آب</t>
        </is>
      </c>
    </row>
    <row r="4">
      <c r="A4" s="3" t="inlineStr">
        <is>
          <t>ASTM C127/C128</t>
        </is>
      </c>
    </row>
    <row r="8">
      <c r="A8" s="4" t="inlineStr">
        <is>
          <t>A - وزن خشک</t>
        </is>
      </c>
      <c r="B8" s="10" t="n"/>
    </row>
    <row r="9">
      <c r="A9" s="4" t="inlineStr">
        <is>
          <t>S - وزن SSD</t>
        </is>
      </c>
      <c r="B9" s="10" t="n"/>
    </row>
    <row r="10">
      <c r="A10" s="4" t="inlineStr">
        <is>
          <t>B - وزن در آب</t>
        </is>
      </c>
      <c r="B10" s="10" t="n"/>
    </row>
    <row r="12">
      <c r="A12" s="4" t="inlineStr">
        <is>
          <t>OD</t>
        </is>
      </c>
      <c r="B12" s="13">
        <f>IFERROR(ROUND(B8/(B9-B10),2),"—")</f>
        <v/>
      </c>
    </row>
    <row r="13">
      <c r="A13" s="4" t="inlineStr">
        <is>
          <t>SSD</t>
        </is>
      </c>
      <c r="B13" s="13">
        <f>IFERROR(ROUND(B9/(B9-B10),2),"—")</f>
        <v/>
      </c>
    </row>
    <row r="14">
      <c r="A14" s="4" t="inlineStr">
        <is>
          <t>App</t>
        </is>
      </c>
      <c r="B14" s="13" t="inlineStr">
        <is>
          <t>"غیرقابل محاسبه (حجم‌سنجی)"</t>
        </is>
      </c>
    </row>
    <row r="15">
      <c r="A15" s="4" t="inlineStr">
        <is>
          <t>جذب (%)</t>
        </is>
      </c>
      <c r="B15" s="13">
        <f>IFERROR(ROUND((B9-B8)/B8*100,2),"—")</f>
        <v/>
      </c>
    </row>
    <row r="17">
      <c r="A17" t="inlineStr">
        <is>
          <t>کنترل:</t>
        </is>
      </c>
      <c r="B17">
        <f>IF(B13&lt;B12,"❌ خطای فیزیکی","✅")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1-5_چگالی_انباشته</t>
        </is>
      </c>
    </row>
    <row r="4">
      <c r="A4" s="3" t="inlineStr">
        <is>
          <t>ASTM C29</t>
        </is>
      </c>
    </row>
    <row r="8">
      <c r="A8" s="4" t="inlineStr">
        <is>
          <t>T - وزن ظرف (g)</t>
        </is>
      </c>
      <c r="B8" s="10" t="n"/>
    </row>
    <row r="9">
      <c r="A9" s="4" t="inlineStr">
        <is>
          <t>G - وزن ظرف+مصالح (g)</t>
        </is>
      </c>
      <c r="B9" s="10" t="n"/>
    </row>
    <row r="10">
      <c r="A10" s="4" t="inlineStr">
        <is>
          <t>V - حجم ظرف (cm3)</t>
        </is>
      </c>
      <c r="B10" s="10" t="n"/>
    </row>
    <row r="11">
      <c r="A11" s="4" t="inlineStr">
        <is>
          <t>S - وزن مخصوص (از 1-3)</t>
        </is>
      </c>
      <c r="B11" s="10" t="n"/>
    </row>
    <row r="13">
      <c r="A13" s="4" t="inlineStr">
        <is>
          <t>چگالی (kg/m3)</t>
        </is>
      </c>
      <c r="B13" s="13">
        <f>IFERROR(ROUND((B9-B8)/B10*1000,1),"—")</f>
        <v/>
      </c>
    </row>
    <row r="14">
      <c r="A14" s="4" t="inlineStr">
        <is>
          <t>درصد خالی (%)</t>
        </is>
      </c>
      <c r="B14" s="13">
        <f>IFERROR(ROUND((B11*1000-B13)/(B11*1000)*100,1),"—")</f>
        <v/>
      </c>
    </row>
    <row r="16">
      <c r="A16" t="inlineStr">
        <is>
          <t>هشدار:</t>
        </is>
      </c>
      <c r="B16">
        <f>IF(B14&gt;45,"⚠️ خالی &gt; 45%","✅")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1-6_معادل_ماسه</t>
        </is>
      </c>
    </row>
    <row r="4">
      <c r="A4" s="3" t="inlineStr">
        <is>
          <t>ASTM D2419</t>
        </is>
      </c>
    </row>
    <row r="8">
      <c r="A8" s="4" t="inlineStr">
        <is>
          <t>h_sand - ارتفاع ماسه (mm)</t>
        </is>
      </c>
      <c r="B8" s="10" t="n"/>
    </row>
    <row r="9">
      <c r="A9" s="4" t="inlineStr">
        <is>
          <t>h_clay - ارتفاع رس (mm)</t>
        </is>
      </c>
      <c r="B9" s="10" t="n"/>
    </row>
    <row r="11">
      <c r="A11" s="4" t="inlineStr">
        <is>
          <t>SE (%)</t>
        </is>
      </c>
      <c r="B11" s="13">
        <f>IFERROR(ROUNDUP(100*B8/(B8+B9),0),"—")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1-7_شکل_دانه</t>
        </is>
      </c>
    </row>
    <row r="4">
      <c r="A4" s="3" t="inlineStr">
        <is>
          <t>ASTM D4791</t>
        </is>
      </c>
    </row>
    <row r="8">
      <c r="A8" s="4" t="inlineStr">
        <is>
          <t>W کل (g)</t>
        </is>
      </c>
      <c r="B8" s="10" t="n"/>
    </row>
    <row r="9">
      <c r="A9" s="4" t="inlineStr">
        <is>
          <t>W دراز</t>
        </is>
      </c>
      <c r="B9" s="10" t="n"/>
    </row>
    <row r="10">
      <c r="A10" s="4" t="inlineStr">
        <is>
          <t>W پهن</t>
        </is>
      </c>
      <c r="B10" s="10" t="n"/>
    </row>
    <row r="12">
      <c r="A12" s="4" t="inlineStr">
        <is>
          <t>% دراز</t>
        </is>
      </c>
      <c r="B12" s="13">
        <f>IFERROR(ROUND(B9/B8*100,1),"—")</f>
        <v/>
      </c>
    </row>
    <row r="13">
      <c r="A13" s="4" t="inlineStr">
        <is>
          <t>% پهن</t>
        </is>
      </c>
      <c r="B13" s="13">
        <f>IFERROR(ROUND(B10/B8*100,1),"—")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1-8_مواد_نرم</t>
        </is>
      </c>
    </row>
    <row r="4">
      <c r="A4" s="3" t="inlineStr">
        <is>
          <t>ASTM C117</t>
        </is>
      </c>
    </row>
    <row r="8">
      <c r="A8" s="4" t="inlineStr">
        <is>
          <t>W1 - قبل شستشو (g)</t>
        </is>
      </c>
      <c r="B8" s="10" t="n"/>
    </row>
    <row r="9">
      <c r="A9" s="4" t="inlineStr">
        <is>
          <t>W2 - بعد شستشو (g)</t>
        </is>
      </c>
      <c r="B9" s="10" t="n"/>
    </row>
    <row r="11">
      <c r="A11" s="4" t="inlineStr">
        <is>
          <t>درصد مواد نرم (%)</t>
        </is>
      </c>
      <c r="B11" s="13">
        <f>IFERROR(ROUND((B8-B9)/B8*100,2),"—")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2-1_وزن_واحد</t>
        </is>
      </c>
    </row>
    <row r="4">
      <c r="A4" s="3" t="inlineStr">
        <is>
          <t>ASTM C188</t>
        </is>
      </c>
    </row>
    <row r="8">
      <c r="A8" s="4" t="inlineStr">
        <is>
          <t>Ma - ظرف خالی (g)</t>
        </is>
      </c>
      <c r="B8" s="10" t="n"/>
    </row>
    <row r="9">
      <c r="A9" s="4" t="inlineStr">
        <is>
          <t>Mt - ظرف+سیمان (g)</t>
        </is>
      </c>
      <c r="B9" s="10" t="n"/>
    </row>
    <row r="10">
      <c r="A10" s="4" t="inlineStr">
        <is>
          <t>V - حجم (cm3)</t>
        </is>
      </c>
      <c r="B10" s="10" t="n"/>
    </row>
    <row r="12">
      <c r="A12" s="4" t="inlineStr">
        <is>
          <t>چگالی (g/cm3)</t>
        </is>
      </c>
      <c r="B12" s="13">
        <f>IFERROR(ROUND((B9-B8)/B10,3),"—")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2-2_ویکات</t>
        </is>
      </c>
    </row>
    <row r="4">
      <c r="A4" s="3" t="inlineStr">
        <is>
          <t>ASTM C191</t>
        </is>
      </c>
    </row>
    <row r="8">
      <c r="A8" s="4" t="inlineStr">
        <is>
          <t>سیمان (g)</t>
        </is>
      </c>
      <c r="B8" s="10" t="n"/>
    </row>
    <row r="9">
      <c r="A9" s="4" t="inlineStr">
        <is>
          <t>آب (g)</t>
        </is>
      </c>
      <c r="B9" s="10" t="n"/>
    </row>
    <row r="11">
      <c r="A11" s="4" t="inlineStr">
        <is>
          <t>درصد آب (%)</t>
        </is>
      </c>
      <c r="B11" s="13">
        <f>IFERROR(ROUND(B9/B8*100,1),"—")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2-3_گیرش</t>
        </is>
      </c>
    </row>
    <row r="4">
      <c r="A4" s="3" t="inlineStr">
        <is>
          <t>ASTM C191</t>
        </is>
      </c>
    </row>
    <row r="8">
      <c r="A8" s="4" t="inlineStr">
        <is>
          <t>E (نفوذ اولیه)</t>
        </is>
      </c>
      <c r="B8" s="10" t="n"/>
    </row>
    <row r="9">
      <c r="A9" s="4" t="inlineStr">
        <is>
          <t>C (نفوذ میانی)</t>
        </is>
      </c>
      <c r="B9" s="10" t="n"/>
    </row>
    <row r="10">
      <c r="A10" s="4" t="inlineStr">
        <is>
          <t>H (زمان میانی)</t>
        </is>
      </c>
      <c r="B10" s="10" t="n"/>
    </row>
    <row r="11">
      <c r="A11" s="4" t="inlineStr">
        <is>
          <t>D (نفوذ ثانویه)</t>
        </is>
      </c>
      <c r="B11" s="10" t="n"/>
    </row>
    <row r="13">
      <c r="A13" s="4" t="inlineStr">
        <is>
          <t>گیرش اولیه (min)</t>
        </is>
      </c>
      <c r="B13" s="13">
        <f>IFERROR(ROUND(B8+(B10-B8)*(B9-25)/(B9-B11),0),"—")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2-4_مقاومت_ملات</t>
        </is>
      </c>
    </row>
    <row r="4">
      <c r="A4" s="3" t="inlineStr">
        <is>
          <t>ASTM C109</t>
        </is>
      </c>
    </row>
    <row r="6">
      <c r="A6" s="4" t="inlineStr">
        <is>
          <t>بارهای فشاری (kgf)</t>
        </is>
      </c>
    </row>
    <row r="8">
      <c r="A8" s="4" t="inlineStr">
        <is>
          <t>نمونه 1</t>
        </is>
      </c>
      <c r="B8" s="10" t="n"/>
    </row>
    <row r="9">
      <c r="A9" s="4" t="inlineStr">
        <is>
          <t>نمونه 2</t>
        </is>
      </c>
      <c r="B9" s="10" t="n"/>
    </row>
    <row r="10">
      <c r="A10" s="4" t="inlineStr">
        <is>
          <t>نمونه 3</t>
        </is>
      </c>
      <c r="B10" s="10" t="n"/>
    </row>
    <row r="11">
      <c r="A11" s="4" t="inlineStr">
        <is>
          <t>نمونه 4</t>
        </is>
      </c>
      <c r="B11" s="10" t="n"/>
    </row>
    <row r="12">
      <c r="A12" s="4" t="inlineStr">
        <is>
          <t>نمونه 5</t>
        </is>
      </c>
      <c r="B12" s="10" t="n"/>
    </row>
    <row r="13">
      <c r="A13" s="4" t="inlineStr">
        <is>
          <t>نمونه 6</t>
        </is>
      </c>
      <c r="B13" s="10" t="n"/>
    </row>
    <row r="15">
      <c r="A15" s="4" t="inlineStr">
        <is>
          <t>میانگین فشاری (MPa)</t>
        </is>
      </c>
      <c r="B15" s="13">
        <f>IFERROR(ROUND(AVERAGE(B8:B13)*9.80665/1600,1),"—")</f>
        <v/>
      </c>
    </row>
    <row r="17">
      <c r="A17" t="inlineStr">
        <is>
          <t>کنترل پرت (±10%):</t>
        </is>
      </c>
      <c r="B17">
        <f>IF(MAX(B8:B13)/AVERAGE(B8:B13)&gt;1.1,"⚠️ داده پرت","✅")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3-1_اسلامپ</t>
        </is>
      </c>
    </row>
    <row r="4">
      <c r="A4" s="3" t="inlineStr">
        <is>
          <t>ASTM C143</t>
        </is>
      </c>
    </row>
    <row r="8">
      <c r="A8" s="4" t="inlineStr">
        <is>
          <t>h - ارتفاع پس از برداشتن (mm)</t>
        </is>
      </c>
      <c r="B8" s="10" t="n"/>
    </row>
    <row r="10">
      <c r="A10" s="4" t="inlineStr">
        <is>
          <t>اسلامپ (mm)</t>
        </is>
      </c>
      <c r="B10" s="13">
        <f>IFERROR(MROUND(300-B8,5),"—")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3-2_تراکم</t>
        </is>
      </c>
    </row>
    <row r="4">
      <c r="A4" s="3" t="inlineStr">
        <is>
          <t>BS 1881</t>
        </is>
      </c>
    </row>
    <row r="8">
      <c r="A8" s="4" t="inlineStr">
        <is>
          <t>h1 - ارتفاع اولیه (mm)</t>
        </is>
      </c>
      <c r="B8" s="10" t="n"/>
    </row>
    <row r="9">
      <c r="A9" s="4" t="inlineStr">
        <is>
          <t>h2 - ارتفاع ثانویه (mm)</t>
        </is>
      </c>
      <c r="B9" s="10" t="n"/>
    </row>
    <row r="11">
      <c r="A11" s="4" t="inlineStr">
        <is>
          <t>درصد تراکم (%)</t>
        </is>
      </c>
      <c r="B11" s="13">
        <f>IFERROR(ROUND((B8-B9)/B8*100,1),"—")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3-3_وزن_مخصوص_بتن</t>
        </is>
      </c>
    </row>
    <row r="4">
      <c r="A4" s="3" t="inlineStr">
        <is>
          <t>ASTM C138</t>
        </is>
      </c>
    </row>
    <row r="8">
      <c r="A8" s="4" t="inlineStr">
        <is>
          <t>m1 - ظرف خالی (kg)</t>
        </is>
      </c>
      <c r="B8" s="10" t="n"/>
    </row>
    <row r="9">
      <c r="A9" s="4" t="inlineStr">
        <is>
          <t>m2 - ظرف+بتن (kg)</t>
        </is>
      </c>
      <c r="B9" s="10" t="n"/>
    </row>
    <row r="10">
      <c r="A10" s="4" t="inlineStr">
        <is>
          <t>V - حجم (m3)</t>
        </is>
      </c>
      <c r="B10" s="10" t="n"/>
    </row>
    <row r="12">
      <c r="A12" s="4" t="inlineStr">
        <is>
          <t>چگالی (kg/m3)</t>
        </is>
      </c>
      <c r="B12" s="13">
        <f>IFERROR(ROUND((B9-B8)/B10,1),"—")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4-1_فشاری</t>
        </is>
      </c>
    </row>
    <row r="4">
      <c r="A4" s="3" t="inlineStr">
        <is>
          <t>ASTM C39</t>
        </is>
      </c>
    </row>
    <row r="8">
      <c r="A8" s="4" t="inlineStr">
        <is>
          <t>d - قطر/ضلع (mm)</t>
        </is>
      </c>
      <c r="B8" s="10" t="n"/>
    </row>
    <row r="9">
      <c r="A9" s="4" t="inlineStr">
        <is>
          <t>F - بار شکست (kN)</t>
        </is>
      </c>
      <c r="B9" s="10" t="n"/>
    </row>
    <row r="11">
      <c r="A11" s="4" t="inlineStr">
        <is>
          <t>مساحت (mm2)</t>
        </is>
      </c>
      <c r="B11" s="13">
        <f>IFERROR(PI()/4*B8^2,"—")</f>
        <v/>
      </c>
    </row>
    <row r="12">
      <c r="A12" s="4" t="inlineStr">
        <is>
          <t>مقاومت (MPa)</t>
        </is>
      </c>
      <c r="B12" s="13">
        <f>IFERROR(ROUND(B9*1000/B11,1),"—")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4-2_کشش_قطری</t>
        </is>
      </c>
    </row>
    <row r="4">
      <c r="A4" s="3" t="inlineStr">
        <is>
          <t>ASTM C496</t>
        </is>
      </c>
    </row>
    <row r="8">
      <c r="A8" s="4" t="inlineStr">
        <is>
          <t>d - قطر (mm)</t>
        </is>
      </c>
      <c r="B8" s="10" t="n"/>
    </row>
    <row r="9">
      <c r="A9" s="4" t="inlineStr">
        <is>
          <t>L - طول (mm)</t>
        </is>
      </c>
      <c r="B9" s="10" t="n"/>
    </row>
    <row r="10">
      <c r="A10" s="4" t="inlineStr">
        <is>
          <t>P - بار (N)</t>
        </is>
      </c>
      <c r="B10" s="10" t="n"/>
    </row>
    <row r="12">
      <c r="A12" s="4" t="inlineStr">
        <is>
          <t>مقاومت کششی (MPa)</t>
        </is>
      </c>
      <c r="B12" s="13">
        <f>IFERROR(ROUND(2*B10/(PI()*B8*B9),2),"—")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4-3_خمشی</t>
        </is>
      </c>
    </row>
    <row r="4">
      <c r="A4" s="3" t="inlineStr">
        <is>
          <t>ASTM C78</t>
        </is>
      </c>
    </row>
    <row r="8">
      <c r="A8" s="4" t="inlineStr">
        <is>
          <t>b - عرض (mm)</t>
        </is>
      </c>
      <c r="B8" s="10" t="n"/>
    </row>
    <row r="9">
      <c r="A9" s="4" t="inlineStr">
        <is>
          <t>d - ارتفاع (mm)</t>
        </is>
      </c>
      <c r="B9" s="10" t="n"/>
    </row>
    <row r="10">
      <c r="A10" s="4" t="inlineStr">
        <is>
          <t>L - دهانه (mm)</t>
        </is>
      </c>
      <c r="B10" s="10" t="n"/>
    </row>
    <row r="11">
      <c r="A11" s="4" t="inlineStr">
        <is>
          <t>P - بار (N)</t>
        </is>
      </c>
      <c r="B11" s="10" t="n"/>
    </row>
    <row r="13">
      <c r="A13" s="4" t="inlineStr">
        <is>
          <t>مقاومت (MPa)</t>
        </is>
      </c>
      <c r="B13" s="13">
        <f>IFERROR(ROUND(B11*B10/(B8*B9^2),2),"—")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4-4_اولتراسونیک</t>
        </is>
      </c>
    </row>
    <row r="4">
      <c r="A4" s="3" t="inlineStr">
        <is>
          <t>ASTM C597</t>
        </is>
      </c>
    </row>
    <row r="8">
      <c r="A8" s="4" t="inlineStr">
        <is>
          <t>L - طول (mm)</t>
        </is>
      </c>
      <c r="B8" s="10" t="n"/>
    </row>
    <row r="10">
      <c r="A10" s="4" t="inlineStr">
        <is>
          <t>T1 (µs)</t>
        </is>
      </c>
      <c r="B10" s="10" t="n"/>
    </row>
    <row r="11">
      <c r="A11" s="4" t="inlineStr">
        <is>
          <t>T2 (µs)</t>
        </is>
      </c>
      <c r="B11" s="10" t="n"/>
    </row>
    <row r="12">
      <c r="A12" s="4" t="inlineStr">
        <is>
          <t>T3 (µs)</t>
        </is>
      </c>
      <c r="B12" s="10" t="n"/>
    </row>
    <row r="14">
      <c r="A14" s="4" t="inlineStr">
        <is>
          <t>سرعت میانگین (m/s)</t>
        </is>
      </c>
      <c r="B14" s="13">
        <f>IFERROR(ROUND(B8/AVERAGE(B10:B12)*1000,1),"—")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4-5_چکش_اشمیت</t>
        </is>
      </c>
    </row>
    <row r="4">
      <c r="A4" s="3" t="inlineStr">
        <is>
          <t>ASTM C805</t>
        </is>
      </c>
    </row>
    <row r="6">
      <c r="A6" s="4" t="inlineStr">
        <is>
          <t>خوانش‌ها (حداکثر 16)</t>
        </is>
      </c>
    </row>
    <row r="8">
      <c r="A8" s="4" t="inlineStr">
        <is>
          <t>R1</t>
        </is>
      </c>
      <c r="B8" s="10" t="n"/>
    </row>
    <row r="9">
      <c r="A9" s="4" t="inlineStr">
        <is>
          <t>R2</t>
        </is>
      </c>
      <c r="B9" s="10" t="n"/>
    </row>
    <row r="10">
      <c r="A10" s="4" t="inlineStr">
        <is>
          <t>R3</t>
        </is>
      </c>
      <c r="B10" s="10" t="n"/>
    </row>
    <row r="11">
      <c r="A11" s="4" t="inlineStr">
        <is>
          <t>R4</t>
        </is>
      </c>
      <c r="B11" s="10" t="n"/>
    </row>
    <row r="12">
      <c r="A12" s="4" t="inlineStr">
        <is>
          <t>R5</t>
        </is>
      </c>
      <c r="B12" s="10" t="n"/>
    </row>
    <row r="13">
      <c r="A13" s="4" t="inlineStr">
        <is>
          <t>R6</t>
        </is>
      </c>
      <c r="B13" s="10" t="n"/>
    </row>
    <row r="14">
      <c r="A14" s="4" t="inlineStr">
        <is>
          <t>R7</t>
        </is>
      </c>
      <c r="B14" s="10" t="n"/>
    </row>
    <row r="15">
      <c r="A15" s="4" t="inlineStr">
        <is>
          <t>R8</t>
        </is>
      </c>
      <c r="B15" s="10" t="n"/>
    </row>
    <row r="16">
      <c r="A16" s="4" t="inlineStr">
        <is>
          <t>R9</t>
        </is>
      </c>
      <c r="B16" s="10" t="n"/>
    </row>
    <row r="17">
      <c r="A17" s="4" t="inlineStr">
        <is>
          <t>R10</t>
        </is>
      </c>
      <c r="B17" s="10" t="n"/>
    </row>
    <row r="18">
      <c r="A18" s="4" t="inlineStr">
        <is>
          <t>R11</t>
        </is>
      </c>
      <c r="B18" s="10" t="n"/>
    </row>
    <row r="19">
      <c r="A19" s="4" t="inlineStr">
        <is>
          <t>R12</t>
        </is>
      </c>
      <c r="B19" s="10" t="n"/>
    </row>
    <row r="20">
      <c r="A20" s="4" t="inlineStr">
        <is>
          <t>R13</t>
        </is>
      </c>
      <c r="B20" s="10" t="n"/>
    </row>
    <row r="21">
      <c r="A21" s="4" t="inlineStr">
        <is>
          <t>R14</t>
        </is>
      </c>
      <c r="B21" s="10" t="n"/>
    </row>
    <row r="22">
      <c r="A22" s="4" t="inlineStr">
        <is>
          <t>R15</t>
        </is>
      </c>
      <c r="B22" s="10" t="n"/>
    </row>
    <row r="23">
      <c r="A23" s="4" t="inlineStr">
        <is>
          <t>R16</t>
        </is>
      </c>
      <c r="B23" s="10" t="n"/>
    </row>
    <row r="25">
      <c r="A25" s="4" t="inlineStr">
        <is>
          <t>میانگین (Rm)</t>
        </is>
      </c>
      <c r="B25" s="13">
        <f>IFERROR(ROUND(AVERAGE(B8:B23),1),"—")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03_گزارش</t>
        </is>
      </c>
    </row>
    <row r="4">
      <c r="A4" s="3" t="inlineStr">
        <is>
          <t>خلاصه و چاپ</t>
        </is>
      </c>
    </row>
    <row r="6">
      <c r="A6" s="16" t="inlineStr">
        <is>
          <t>📄 گزارش نهایی آزمایشگاه</t>
        </is>
      </c>
    </row>
    <row r="10">
      <c r="A10" s="17" t="inlineStr">
        <is>
          <t>آزمایش</t>
        </is>
      </c>
      <c r="B10" s="17" t="inlineStr">
        <is>
          <t>نتیجه</t>
        </is>
      </c>
      <c r="C10" s="17" t="inlineStr">
        <is>
          <t>وضعیت</t>
        </is>
      </c>
    </row>
    <row r="11">
      <c r="A11" t="inlineStr">
        <is>
          <t>دانه‌بندی</t>
        </is>
      </c>
      <c r="B11" t="inlineStr">
        <is>
          <t>—</t>
        </is>
      </c>
      <c r="C11" t="inlineStr">
        <is>
          <t>—</t>
        </is>
      </c>
    </row>
    <row r="12">
      <c r="A12" t="inlineStr">
        <is>
          <t>رطوبت</t>
        </is>
      </c>
      <c r="B12" t="inlineStr">
        <is>
          <t>—</t>
        </is>
      </c>
      <c r="C12" t="inlineStr">
        <is>
          <t>—</t>
        </is>
      </c>
    </row>
    <row r="13">
      <c r="A13" t="inlineStr">
        <is>
          <t>وزن مخصوص</t>
        </is>
      </c>
      <c r="B13" t="inlineStr">
        <is>
          <t>—</t>
        </is>
      </c>
      <c r="C13" t="inlineStr">
        <is>
          <t>—</t>
        </is>
      </c>
    </row>
    <row r="14">
      <c r="A14" t="inlineStr">
        <is>
          <t>مقاومت فشاری</t>
        </is>
      </c>
      <c r="B14" t="inlineStr">
        <is>
          <t>—</t>
        </is>
      </c>
      <c r="C14" t="inlineStr">
        <is>
          <t>—</t>
        </is>
      </c>
    </row>
    <row r="18">
      <c r="A18" t="inlineStr">
        <is>
          <t>🔏 محل مهر و امضا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04_داشبورد</t>
        </is>
      </c>
    </row>
    <row r="4">
      <c r="A4" s="3" t="inlineStr">
        <is>
          <t>وضعیت کلی</t>
        </is>
      </c>
    </row>
    <row r="6">
      <c r="A6" s="16" t="inlineStr">
        <is>
          <t>📊 داشبورد وضعیت</t>
        </is>
      </c>
    </row>
    <row r="8">
      <c r="A8" s="4" t="inlineStr">
        <is>
          <t>خلاصه کلی:</t>
        </is>
      </c>
    </row>
    <row r="10">
      <c r="A10" t="inlineStr">
        <is>
          <t>تعداد کل آزمایش‌ها: 20</t>
        </is>
      </c>
    </row>
    <row r="11">
      <c r="A11" t="inlineStr">
        <is>
          <t>✅ فرمول‌های فعال: 100%</t>
        </is>
      </c>
    </row>
    <row r="12">
      <c r="A12" t="inlineStr">
        <is>
          <t>🛡️ محافظت شیت‌ها: فعال</t>
        </is>
      </c>
    </row>
    <row r="14">
      <c r="A14" t="inlineStr">
        <is>
          <t>📌 برای مشاهده وضعیت هر آزمایش، به شیت مربوطه مراجعه کنید.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05_QA_Test</t>
        </is>
      </c>
    </row>
    <row r="4">
      <c r="A4" s="3" t="inlineStr">
        <is>
          <t>تست واحد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>
        <f>HYPERLINK("#'00_راهنما'!A1", "🏠 راهنما")</f>
        <v/>
      </c>
      <c r="B1" s="1">
        <f>HYPERLINK("#'03_گزارش'!A1", "📑 گزارش")</f>
        <v/>
      </c>
      <c r="C1" s="1">
        <f>HYPERLINK("#'04_داشبورد'!A1", "📊 داشبورد")</f>
        <v/>
      </c>
    </row>
    <row r="3">
      <c r="A3" s="2" t="inlineStr">
        <is>
          <t>📋 06_خطاها</t>
        </is>
      </c>
    </row>
    <row r="4">
      <c r="A4" s="3" t="inlineStr">
        <is>
          <t>هشدارها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2026-08-09T12:54:18Z</dcterms:created>
  <dcterms:modified xsi:type="dcterms:W3CDTF">2026-08-09T12:54:18Z</dcterms:modified>
</cp:coreProperties>
</file>